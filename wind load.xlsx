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5158994-8286-4A34-9391-24A60FE7239A}" xr6:coauthVersionLast="47" xr6:coauthVersionMax="47" xr10:uidLastSave="{00000000-0000-0000-0000-000000000000}"/>
  <bookViews>
    <workbookView xWindow="-120" yWindow="-120" windowWidth="21840" windowHeight="13140" xr2:uid="{744686F3-5E98-4E2C-9C27-1A4B923DDB08}"/>
  </bookViews>
  <sheets>
    <sheet name="Sheet1" sheetId="1" r:id="rId1"/>
    <sheet name="Sheet2" sheetId="2" r:id="rId2"/>
    <sheet name="Sheet3" sheetId="3" r:id="rId3"/>
    <sheet name="Sheet7" sheetId="8" r:id="rId4"/>
    <sheet name="Sheet5" sheetId="7" r:id="rId5"/>
    <sheet name="Sheet6" sheetId="9" r:id="rId6"/>
    <sheet name="Sheet4" sheetId="4" r:id="rId7"/>
  </sheets>
  <externalReferences>
    <externalReference r:id="rId8"/>
  </externalReferences>
  <definedNames>
    <definedName name="_xlchart.v5.0" hidden="1">Sheet7!$A$1</definedName>
    <definedName name="_xlchart.v5.1" hidden="1">Sheet7!$A$2:$A$34</definedName>
    <definedName name="_xlchart.v5.2" hidden="1">Sheet7!$B$1</definedName>
    <definedName name="_xlchart.v5.3" hidden="1">Sheet7!$B$2:$B$34</definedName>
    <definedName name="_xlchart.v5.4" hidden="1">Sheet7!$A$1</definedName>
    <definedName name="_xlchart.v5.5" hidden="1">Sheet7!$A$2:$A$34</definedName>
    <definedName name="_xlchart.v5.6" hidden="1">Sheet7!$B$1</definedName>
    <definedName name="_xlchart.v5.7" hidden="1">Sheet7!$B$2:$B$34</definedName>
    <definedName name="All_general_buildings__and_structures">Sheet2!$B$5</definedName>
    <definedName name="Buildings_and_structures_presenting_a_low_degree_of_hazard_to_life_and_property__in_the_event_of_failure__such_as_isolated_towers_in_wooded_areas__farm_buildings_other_than_residential_buildings__etc.">Sheet2!$B$7</definedName>
    <definedName name="Important_buildings_and_structures_such_as__hospitals__communication_buildings__towers_and_power_plant_structures">Sheet2!$B$8</definedName>
    <definedName name="Temporary_sheds__structures_such_as_those__used_during_construction_operations__for_example__formwork_and_false_work___structures_during_construction_stages__and_boundary_walls">Sheet2!$B$6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" i="2" l="1"/>
  <c r="G31" i="2" s="1"/>
  <c r="K33" i="2"/>
  <c r="B4" i="1"/>
  <c r="B6" i="1"/>
  <c r="B13" i="2"/>
  <c r="B1" i="8"/>
  <c r="B34" i="8" l="1"/>
  <c r="D1" i="7" a="1"/>
  <c r="CB1" i="7" s="1"/>
  <c r="B11" i="8" l="1"/>
  <c r="B23" i="8"/>
  <c r="B12" i="8"/>
  <c r="B24" i="8"/>
  <c r="B13" i="8"/>
  <c r="B2" i="8"/>
  <c r="B26" i="8"/>
  <c r="B15" i="8"/>
  <c r="B4" i="8"/>
  <c r="B28" i="8"/>
  <c r="B5" i="8"/>
  <c r="B29" i="8"/>
  <c r="B18" i="8"/>
  <c r="B7" i="8"/>
  <c r="B31" i="8"/>
  <c r="B8" i="8"/>
  <c r="B32" i="8"/>
  <c r="B9" i="8"/>
  <c r="B21" i="8"/>
  <c r="B33" i="8"/>
  <c r="B25" i="8"/>
  <c r="B14" i="8"/>
  <c r="B3" i="8"/>
  <c r="B27" i="8"/>
  <c r="B16" i="8"/>
  <c r="B17" i="8"/>
  <c r="B6" i="8"/>
  <c r="B30" i="8"/>
  <c r="B19" i="8"/>
  <c r="B20" i="8"/>
  <c r="B10" i="8"/>
  <c r="B22" i="8"/>
  <c r="O1" i="7"/>
  <c r="AA1" i="7"/>
  <c r="AM1" i="7"/>
  <c r="AY1" i="7"/>
  <c r="BK1" i="7"/>
  <c r="BW1" i="7"/>
  <c r="D1" i="7"/>
  <c r="P1" i="7"/>
  <c r="AB1" i="7"/>
  <c r="AN1" i="7"/>
  <c r="AZ1" i="7"/>
  <c r="BL1" i="7"/>
  <c r="BX1" i="7"/>
  <c r="E1" i="7"/>
  <c r="Q1" i="7"/>
  <c r="AC1" i="7"/>
  <c r="AO1" i="7"/>
  <c r="BA1" i="7"/>
  <c r="BM1" i="7"/>
  <c r="BY1" i="7"/>
  <c r="F1" i="7"/>
  <c r="R1" i="7"/>
  <c r="AD1" i="7"/>
  <c r="AP1" i="7"/>
  <c r="BB1" i="7"/>
  <c r="BN1" i="7"/>
  <c r="BZ1" i="7"/>
  <c r="G1" i="7"/>
  <c r="S1" i="7"/>
  <c r="AE1" i="7"/>
  <c r="AQ1" i="7"/>
  <c r="BC1" i="7"/>
  <c r="BO1" i="7"/>
  <c r="CA1" i="7"/>
  <c r="I1" i="7"/>
  <c r="U1" i="7"/>
  <c r="AG1" i="7"/>
  <c r="AS1" i="7"/>
  <c r="BE1" i="7"/>
  <c r="BQ1" i="7"/>
  <c r="J1" i="7"/>
  <c r="V1" i="7"/>
  <c r="AH1" i="7"/>
  <c r="AT1" i="7"/>
  <c r="BF1" i="7"/>
  <c r="BR1" i="7"/>
  <c r="K1" i="7"/>
  <c r="W1" i="7"/>
  <c r="AI1" i="7"/>
  <c r="AU1" i="7"/>
  <c r="BG1" i="7"/>
  <c r="BS1" i="7"/>
  <c r="L1" i="7"/>
  <c r="X1" i="7"/>
  <c r="AJ1" i="7"/>
  <c r="AV1" i="7"/>
  <c r="BH1" i="7"/>
  <c r="BT1" i="7"/>
  <c r="M1" i="7"/>
  <c r="Y1" i="7"/>
  <c r="AK1" i="7"/>
  <c r="AW1" i="7"/>
  <c r="BI1" i="7"/>
  <c r="BU1" i="7"/>
  <c r="N1" i="7"/>
  <c r="Z1" i="7"/>
  <c r="AL1" i="7"/>
  <c r="AX1" i="7"/>
  <c r="BJ1" i="7"/>
  <c r="BV1" i="7"/>
  <c r="H1" i="7"/>
  <c r="T1" i="7"/>
  <c r="AF1" i="7"/>
  <c r="AR1" i="7"/>
  <c r="BD1" i="7"/>
  <c r="BP1" i="7"/>
  <c r="B12" i="2" l="1"/>
  <c r="E31" i="4"/>
  <c r="E30" i="4"/>
  <c r="E29" i="4"/>
  <c r="B13" i="1"/>
  <c r="I51" i="2" s="1"/>
  <c r="O55" i="4"/>
  <c r="O54" i="4"/>
  <c r="L55" i="4"/>
  <c r="L54" i="4"/>
  <c r="I55" i="4"/>
  <c r="I54" i="4"/>
  <c r="F55" i="4"/>
  <c r="F54" i="4"/>
  <c r="O48" i="4"/>
  <c r="O47" i="4"/>
  <c r="L48" i="4"/>
  <c r="L47" i="4"/>
  <c r="I48" i="4"/>
  <c r="I47" i="4"/>
  <c r="F48" i="4"/>
  <c r="F47" i="4"/>
  <c r="B62" i="2"/>
  <c r="B61" i="2" s="1"/>
  <c r="J18" i="1" l="1"/>
  <c r="I53" i="2"/>
  <c r="I55" i="2" s="1"/>
  <c r="I52" i="2"/>
  <c r="I54" i="2" s="1"/>
  <c r="J17" i="1"/>
  <c r="J20" i="1"/>
  <c r="J19" i="1"/>
  <c r="B6" i="4"/>
  <c r="B5" i="4"/>
  <c r="B4" i="4"/>
  <c r="G29" i="2"/>
  <c r="A50" i="4"/>
  <c r="A20" i="1"/>
  <c r="A49" i="4" s="1"/>
  <c r="A19" i="1"/>
  <c r="A48" i="4" s="1"/>
  <c r="A18" i="1"/>
  <c r="A47" i="4" s="1"/>
  <c r="A17" i="1"/>
  <c r="D17" i="1" s="1"/>
  <c r="B18" i="1"/>
  <c r="I56" i="2" l="1"/>
  <c r="I18" i="1" s="1"/>
  <c r="A46" i="4"/>
  <c r="B9" i="4"/>
  <c r="B8" i="4"/>
  <c r="K31" i="2"/>
  <c r="G30" i="2" s="1"/>
  <c r="B20" i="1"/>
  <c r="B19" i="1"/>
  <c r="B14" i="2"/>
  <c r="I1" i="2" s="1"/>
  <c r="C11" i="2" s="1"/>
  <c r="B17" i="1"/>
  <c r="C19" i="1" l="1"/>
  <c r="I17" i="1"/>
  <c r="I20" i="1"/>
  <c r="I19" i="1"/>
  <c r="K34" i="2"/>
  <c r="K37" i="2" s="1"/>
  <c r="K24" i="2"/>
  <c r="K29" i="2" s="1"/>
  <c r="K30" i="2" s="1"/>
  <c r="E20" i="1" s="1"/>
  <c r="K36" i="2"/>
  <c r="E19" i="1" l="1"/>
  <c r="E17" i="1"/>
  <c r="E18" i="1"/>
  <c r="C18" i="1"/>
  <c r="C20" i="1"/>
  <c r="C17" i="1"/>
  <c r="T5" i="2"/>
  <c r="T1" i="2" s="1"/>
  <c r="T4" i="2"/>
  <c r="T9" i="2" s="1"/>
  <c r="T11" i="2" l="1"/>
  <c r="T13" i="2" s="1"/>
  <c r="T12" i="2"/>
  <c r="T10" i="2"/>
  <c r="T14" i="2" l="1"/>
  <c r="T7" i="2" s="1"/>
  <c r="D19" i="1" l="1"/>
  <c r="G19" i="1" s="1"/>
  <c r="H19" i="1" s="1"/>
  <c r="L19" i="1" s="1"/>
  <c r="D20" i="1"/>
  <c r="G20" i="1" s="1"/>
  <c r="H20" i="1" s="1"/>
  <c r="L20" i="1" s="1"/>
  <c r="D18" i="1"/>
  <c r="G18" i="1" s="1"/>
  <c r="H18" i="1" s="1"/>
  <c r="L18" i="1" s="1"/>
  <c r="G17" i="1"/>
  <c r="H17" i="1" s="1"/>
  <c r="L17" i="1" s="1"/>
  <c r="G38" i="4" l="1"/>
  <c r="G42" i="4"/>
  <c r="G44" i="4"/>
  <c r="G43" i="4"/>
  <c r="G40" i="4"/>
  <c r="G36" i="4"/>
  <c r="G35" i="4"/>
  <c r="G34" i="4"/>
  <c r="O50" i="4"/>
  <c r="F57" i="4"/>
  <c r="F56" i="4"/>
  <c r="O49" i="4"/>
  <c r="L50" i="4"/>
  <c r="F49" i="4"/>
  <c r="I56" i="4"/>
  <c r="I58" i="4" s="1"/>
  <c r="L56" i="4"/>
  <c r="L58" i="4" s="1"/>
  <c r="I49" i="4"/>
  <c r="I51" i="4" s="1"/>
  <c r="O56" i="4"/>
  <c r="F50" i="4"/>
  <c r="I57" i="4"/>
  <c r="L57" i="4"/>
  <c r="I50" i="4"/>
  <c r="O57" i="4"/>
  <c r="L49" i="4"/>
  <c r="O51" i="4" l="1"/>
  <c r="J42" i="4"/>
  <c r="I42" i="4"/>
  <c r="I43" i="4"/>
  <c r="J43" i="4"/>
  <c r="I35" i="4"/>
  <c r="J35" i="4"/>
  <c r="G37" i="4"/>
  <c r="I36" i="4"/>
  <c r="J36" i="4"/>
  <c r="I40" i="4"/>
  <c r="J40" i="4"/>
  <c r="G41" i="4"/>
  <c r="I44" i="4"/>
  <c r="H44" i="4"/>
  <c r="H34" i="4"/>
  <c r="I34" i="4"/>
  <c r="I38" i="4"/>
  <c r="J38" i="4"/>
  <c r="G39" i="4"/>
  <c r="O58" i="4"/>
  <c r="F58" i="4"/>
  <c r="F51" i="4"/>
  <c r="L51" i="4"/>
  <c r="J37" i="4" l="1"/>
  <c r="I37" i="4"/>
  <c r="I39" i="4"/>
  <c r="J39" i="4"/>
  <c r="I41" i="4"/>
  <c r="J41" i="4"/>
</calcChain>
</file>

<file path=xl/sharedStrings.xml><?xml version="1.0" encoding="utf-8"?>
<sst xmlns="http://schemas.openxmlformats.org/spreadsheetml/2006/main" count="497" uniqueCount="225">
  <si>
    <t>Location ( city)</t>
  </si>
  <si>
    <t>Basic Wind Speed (Vb)</t>
  </si>
  <si>
    <t>Class of structure</t>
  </si>
  <si>
    <t>Terrain category</t>
  </si>
  <si>
    <t>Height of Storey</t>
  </si>
  <si>
    <t>Height of Building (h)</t>
  </si>
  <si>
    <t>Width of Building (a)</t>
  </si>
  <si>
    <t>Length of Building (b)</t>
  </si>
  <si>
    <t xml:space="preserve">Height of Building </t>
  </si>
  <si>
    <t>Vb</t>
  </si>
  <si>
    <t>K1</t>
  </si>
  <si>
    <t>K2</t>
  </si>
  <si>
    <t>K3</t>
  </si>
  <si>
    <t>K4</t>
  </si>
  <si>
    <t>Ka</t>
  </si>
  <si>
    <t>kd</t>
  </si>
  <si>
    <t>kc</t>
  </si>
  <si>
    <t>Vz</t>
  </si>
  <si>
    <t>Pz</t>
  </si>
  <si>
    <t>Pd</t>
  </si>
  <si>
    <t>Cf</t>
  </si>
  <si>
    <t>F</t>
  </si>
  <si>
    <t xml:space="preserve">Basic Wind Speed at 10m Height for some Important Cities/Towns </t>
  </si>
  <si>
    <t xml:space="preserve"> </t>
  </si>
  <si>
    <t xml:space="preserve">City/Town </t>
  </si>
  <si>
    <t xml:space="preserve">Basic Wind Speed (m/s) </t>
  </si>
  <si>
    <t xml:space="preserve">Agra </t>
  </si>
  <si>
    <t>Uttar pradesh</t>
  </si>
  <si>
    <t xml:space="preserve">Ahmedabad </t>
  </si>
  <si>
    <t>Gujrat</t>
  </si>
  <si>
    <t xml:space="preserve">Ajmer </t>
  </si>
  <si>
    <t>rajasthan</t>
  </si>
  <si>
    <t xml:space="preserve">Almora </t>
  </si>
  <si>
    <t>Uttarakhand</t>
  </si>
  <si>
    <t xml:space="preserve">Amritsar </t>
  </si>
  <si>
    <t>Punjab</t>
  </si>
  <si>
    <t xml:space="preserve">Asansol </t>
  </si>
  <si>
    <t>West Bengal</t>
  </si>
  <si>
    <t xml:space="preserve">Aurangabad </t>
  </si>
  <si>
    <t>Maharashtra</t>
  </si>
  <si>
    <t xml:space="preserve">Bahraich </t>
  </si>
  <si>
    <t xml:space="preserve">Bangalore </t>
  </si>
  <si>
    <t>Karnataka</t>
  </si>
  <si>
    <t xml:space="preserve">Barauni </t>
  </si>
  <si>
    <t>Bihar</t>
  </si>
  <si>
    <t xml:space="preserve">Bhatinda </t>
  </si>
  <si>
    <t xml:space="preserve">Bhilai </t>
  </si>
  <si>
    <t>Chhattisgarh</t>
  </si>
  <si>
    <t xml:space="preserve">Bhopal </t>
  </si>
  <si>
    <t>Madhya Pradesh</t>
  </si>
  <si>
    <t xml:space="preserve">Bhubaneshwar </t>
  </si>
  <si>
    <t>Odisha</t>
  </si>
  <si>
    <t xml:space="preserve">Bhuj </t>
  </si>
  <si>
    <t xml:space="preserve">Bikaner </t>
  </si>
  <si>
    <t xml:space="preserve">Bokaro </t>
  </si>
  <si>
    <t>Jharkhand</t>
  </si>
  <si>
    <t xml:space="preserve">Bareilly </t>
  </si>
  <si>
    <t xml:space="preserve">Calicut </t>
  </si>
  <si>
    <t>Kerala</t>
  </si>
  <si>
    <t xml:space="preserve">Chandigarh </t>
  </si>
  <si>
    <t xml:space="preserve">Chennai </t>
  </si>
  <si>
    <t>tamil nadu</t>
  </si>
  <si>
    <t xml:space="preserve">Coimbatore </t>
  </si>
  <si>
    <t xml:space="preserve">Cuttack </t>
  </si>
  <si>
    <t xml:space="preserve">Darbhanga </t>
  </si>
  <si>
    <t xml:space="preserve">Darjeeling </t>
  </si>
  <si>
    <t xml:space="preserve">Dehra Dun </t>
  </si>
  <si>
    <t xml:space="preserve">Delhi </t>
  </si>
  <si>
    <t>Delhi</t>
  </si>
  <si>
    <t xml:space="preserve">Durgapur </t>
  </si>
  <si>
    <t xml:space="preserve">Gangtok </t>
  </si>
  <si>
    <t>Sikkim</t>
  </si>
  <si>
    <t xml:space="preserve">Gaya </t>
  </si>
  <si>
    <t xml:space="preserve">Gorakhpur </t>
  </si>
  <si>
    <t xml:space="preserve">Guwahati </t>
  </si>
  <si>
    <t>Assam</t>
  </si>
  <si>
    <t xml:space="preserve">Hyderabad </t>
  </si>
  <si>
    <t>Telangana</t>
  </si>
  <si>
    <t xml:space="preserve">Imphal </t>
  </si>
  <si>
    <t>Manipur</t>
  </si>
  <si>
    <t xml:space="preserve">Jabalpur </t>
  </si>
  <si>
    <t xml:space="preserve">Jaipur </t>
  </si>
  <si>
    <t xml:space="preserve">Jamshedpur </t>
  </si>
  <si>
    <t xml:space="preserve">Jhansi </t>
  </si>
  <si>
    <t xml:space="preserve">Jodhpur </t>
  </si>
  <si>
    <t xml:space="preserve">Kanpur </t>
  </si>
  <si>
    <t xml:space="preserve">Kohima </t>
  </si>
  <si>
    <t>Nagaland</t>
  </si>
  <si>
    <t xml:space="preserve">Kolkata </t>
  </si>
  <si>
    <t xml:space="preserve">Kurnool </t>
  </si>
  <si>
    <t>Andrapradesh</t>
  </si>
  <si>
    <t xml:space="preserve">Lakshadweep </t>
  </si>
  <si>
    <t>Lakshadweep</t>
  </si>
  <si>
    <t xml:space="preserve">Lucknow </t>
  </si>
  <si>
    <t xml:space="preserve">Ludhiana </t>
  </si>
  <si>
    <t xml:space="preserve">Madurai </t>
  </si>
  <si>
    <t xml:space="preserve">Mandi </t>
  </si>
  <si>
    <t>Himachal Pradesh</t>
  </si>
  <si>
    <t xml:space="preserve">Mangalore </t>
  </si>
  <si>
    <t xml:space="preserve">Moradabad </t>
  </si>
  <si>
    <t xml:space="preserve">Mumbai </t>
  </si>
  <si>
    <t xml:space="preserve">Mysore </t>
  </si>
  <si>
    <t xml:space="preserve">Nagpur </t>
  </si>
  <si>
    <t xml:space="preserve">Nainital </t>
  </si>
  <si>
    <t xml:space="preserve">Nasik </t>
  </si>
  <si>
    <t xml:space="preserve">Nellore </t>
  </si>
  <si>
    <t>Andhra pradesh</t>
  </si>
  <si>
    <t xml:space="preserve">Panjim </t>
  </si>
  <si>
    <t>Goa</t>
  </si>
  <si>
    <t xml:space="preserve">Patiala </t>
  </si>
  <si>
    <t xml:space="preserve">Patna </t>
  </si>
  <si>
    <t xml:space="preserve">Pondicherry </t>
  </si>
  <si>
    <t xml:space="preserve">Port Blair </t>
  </si>
  <si>
    <t>Andaman</t>
  </si>
  <si>
    <t xml:space="preserve">Pune </t>
  </si>
  <si>
    <t xml:space="preserve">Raipur </t>
  </si>
  <si>
    <t>Chattisgarh</t>
  </si>
  <si>
    <t xml:space="preserve">Rajkot </t>
  </si>
  <si>
    <t xml:space="preserve">Ranchi </t>
  </si>
  <si>
    <t xml:space="preserve">Roorkee </t>
  </si>
  <si>
    <t xml:space="preserve">Rourkela </t>
  </si>
  <si>
    <t xml:space="preserve">Shimla </t>
  </si>
  <si>
    <t xml:space="preserve">Srinagar </t>
  </si>
  <si>
    <t>Jammu and kashmir</t>
  </si>
  <si>
    <t xml:space="preserve">Surat </t>
  </si>
  <si>
    <t xml:space="preserve">Tiruchirapalli </t>
  </si>
  <si>
    <t xml:space="preserve">Trivandrum </t>
  </si>
  <si>
    <t xml:space="preserve">Udaipur </t>
  </si>
  <si>
    <t xml:space="preserve">Vadodara </t>
  </si>
  <si>
    <t xml:space="preserve">Varanasi </t>
  </si>
  <si>
    <t xml:space="preserve">Vijaywada </t>
  </si>
  <si>
    <t xml:space="preserve">Visakhapatnam </t>
  </si>
  <si>
    <r>
      <t>Topography (</t>
    </r>
    <r>
      <rPr>
        <b/>
        <sz val="12"/>
        <color theme="1"/>
        <rFont val="Calibri"/>
        <family val="2"/>
      </rPr>
      <t>ө)</t>
    </r>
  </si>
  <si>
    <t>Table 1:  Risk coefficients for different classes of structures in different wind speed zones [Clause 5.3.1]</t>
  </si>
  <si>
    <t xml:space="preserve">Height (z) </t>
  </si>
  <si>
    <t xml:space="preserve">Terrain and height multiplier (k2) </t>
  </si>
  <si>
    <t xml:space="preserve">(m) </t>
  </si>
  <si>
    <t>X</t>
  </si>
  <si>
    <t>X1</t>
  </si>
  <si>
    <t>X2</t>
  </si>
  <si>
    <t>Y1</t>
  </si>
  <si>
    <t>Y2</t>
  </si>
  <si>
    <t>Y</t>
  </si>
  <si>
    <t>k1</t>
  </si>
  <si>
    <t>Topography factor,K3</t>
  </si>
  <si>
    <t>Slope</t>
  </si>
  <si>
    <t>Le</t>
  </si>
  <si>
    <t>C</t>
  </si>
  <si>
    <r>
      <t>3</t>
    </r>
    <r>
      <rPr>
        <sz val="11"/>
        <color theme="1"/>
        <rFont val="Calibri"/>
        <family val="2"/>
      </rPr>
      <t>˚</t>
    </r>
    <r>
      <rPr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</rPr>
      <t>ө&lt;=17˚</t>
    </r>
  </si>
  <si>
    <t>L</t>
  </si>
  <si>
    <t>1.2(Z/L)</t>
  </si>
  <si>
    <t>ө&gt;17˚</t>
  </si>
  <si>
    <t>Z/0.3</t>
  </si>
  <si>
    <t>ө</t>
  </si>
  <si>
    <r>
      <t>k3(</t>
    </r>
    <r>
      <rPr>
        <sz val="11"/>
        <color theme="1"/>
        <rFont val="Calibri"/>
        <family val="2"/>
      </rPr>
      <t>ө&lt;3)</t>
    </r>
  </si>
  <si>
    <t>Z</t>
  </si>
  <si>
    <r>
      <t>k3(</t>
    </r>
    <r>
      <rPr>
        <sz val="11"/>
        <color theme="1"/>
        <rFont val="Calibri"/>
        <family val="2"/>
      </rPr>
      <t>ө&gt;3)</t>
    </r>
  </si>
  <si>
    <t>s</t>
  </si>
  <si>
    <t>H</t>
  </si>
  <si>
    <t>X/Le</t>
  </si>
  <si>
    <t>H/Le</t>
  </si>
  <si>
    <t xml:space="preserve">-1.5     -1.0      -0.5       0     0       0.5       1.0       1.5      2.0       2.5 </t>
  </si>
  <si>
    <r>
      <t xml:space="preserve">Upwind </t>
    </r>
    <r>
      <rPr>
        <i/>
        <sz val="11"/>
        <color rgb="FF000000"/>
        <rFont val="Arial"/>
        <family val="2"/>
      </rPr>
      <t>X/L</t>
    </r>
    <r>
      <rPr>
        <i/>
        <vertAlign val="subscript"/>
        <sz val="11"/>
        <color rgb="FF000000"/>
        <rFont val="Arial"/>
        <family val="2"/>
      </rPr>
      <t>e</t>
    </r>
  </si>
  <si>
    <r>
      <t xml:space="preserve">Downwind </t>
    </r>
    <r>
      <rPr>
        <i/>
        <sz val="11"/>
        <color rgb="FF000000"/>
        <rFont val="Arial"/>
        <family val="2"/>
      </rPr>
      <t>X/L</t>
    </r>
    <r>
      <rPr>
        <i/>
        <vertAlign val="subscript"/>
        <sz val="11"/>
        <color rgb="FF000000"/>
        <rFont val="Arial"/>
        <family val="2"/>
      </rPr>
      <t>e</t>
    </r>
  </si>
  <si>
    <t xml:space="preserve">Factors for cliff and escarpment </t>
  </si>
  <si>
    <t xml:space="preserve">-1.5       -1.0      -0.5      0    0       0.5       1.0       1.5      2.0       2.5 </t>
  </si>
  <si>
    <r>
      <t xml:space="preserve">Upwind </t>
    </r>
    <r>
      <rPr>
        <i/>
        <sz val="11"/>
        <color rgb="FF000000"/>
        <rFont val="Arial"/>
        <family val="2"/>
      </rPr>
      <t>X/L</t>
    </r>
    <r>
      <rPr>
        <i/>
        <sz val="7"/>
        <color rgb="FF000000"/>
        <rFont val="Arial"/>
        <family val="2"/>
      </rPr>
      <t>e</t>
    </r>
  </si>
  <si>
    <t>Factors for ridge and hill</t>
  </si>
  <si>
    <t xml:space="preserve">Crest </t>
  </si>
  <si>
    <t>Crest (X)</t>
  </si>
  <si>
    <t>Height of Hill (Z)</t>
  </si>
  <si>
    <t>a</t>
  </si>
  <si>
    <t>b</t>
  </si>
  <si>
    <t>h</t>
  </si>
  <si>
    <t>a/b</t>
  </si>
  <si>
    <t>h/b</t>
  </si>
  <si>
    <r>
      <t>Tributary Area (A) (m</t>
    </r>
    <r>
      <rPr>
        <b/>
        <vertAlign val="super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 xml:space="preserve">) </t>
    </r>
  </si>
  <si>
    <t xml:space="preserve">Area </t>
  </si>
  <si>
    <t xml:space="preserve">Averaging  </t>
  </si>
  <si>
    <r>
      <t>Factor (K</t>
    </r>
    <r>
      <rPr>
        <b/>
        <vertAlign val="subscript"/>
        <sz val="10"/>
        <color rgb="FF000000"/>
        <rFont val="Arial"/>
        <family val="2"/>
      </rPr>
      <t>a</t>
    </r>
    <r>
      <rPr>
        <b/>
        <sz val="10"/>
        <color rgb="FF000000"/>
        <rFont val="Arial"/>
        <family val="2"/>
      </rPr>
      <t xml:space="preserve">) </t>
    </r>
  </si>
  <si>
    <t>FORCE COEFFICIENT (Cf)</t>
  </si>
  <si>
    <r>
      <t xml:space="preserve"> Area averaging 
factor (</t>
    </r>
    <r>
      <rPr>
        <b/>
        <i/>
        <sz val="10"/>
        <color rgb="FF000000"/>
        <rFont val="Arial"/>
        <family val="2"/>
      </rPr>
      <t>K</t>
    </r>
    <r>
      <rPr>
        <b/>
        <i/>
        <vertAlign val="subscript"/>
        <sz val="10"/>
        <color rgb="FF000000"/>
        <rFont val="Arial"/>
        <family val="2"/>
      </rPr>
      <t>a</t>
    </r>
    <r>
      <rPr>
        <b/>
        <sz val="10"/>
        <color rgb="FF000000"/>
        <rFont val="Arial"/>
        <family val="2"/>
      </rPr>
      <t>)</t>
    </r>
  </si>
  <si>
    <t>for buildings, solid signs, open signs, lattice frameworks, and trussed towers 
(triangular, square, rectangular) a factor of 0.90 may be used on the design wind pressure. For circular or near – circular forms this factor may be taken as 1.0. For the cyclone affected regions also, the factor Kd shall be taken as 1.0.</t>
  </si>
  <si>
    <t>Kd</t>
  </si>
  <si>
    <t>Kc</t>
  </si>
  <si>
    <t>Shape of building</t>
  </si>
  <si>
    <t>Rectangular</t>
  </si>
  <si>
    <t>Triangular</t>
  </si>
  <si>
    <t>Square</t>
  </si>
  <si>
    <t>Cyclonic Region</t>
  </si>
  <si>
    <t>Life of Building</t>
  </si>
  <si>
    <t>Bay width</t>
  </si>
  <si>
    <t>Node</t>
  </si>
  <si>
    <t>Loading Level</t>
  </si>
  <si>
    <t>Height</t>
  </si>
  <si>
    <t>Nodal Point Load</t>
  </si>
  <si>
    <t>Tributary Area</t>
  </si>
  <si>
    <t>Pressure</t>
  </si>
  <si>
    <t>Area</t>
  </si>
  <si>
    <t>1,2</t>
  </si>
  <si>
    <t>2,3</t>
  </si>
  <si>
    <t>NODE</t>
  </si>
  <si>
    <t>Node1</t>
  </si>
  <si>
    <t>Node2</t>
  </si>
  <si>
    <t>Node3</t>
  </si>
  <si>
    <t>Circular</t>
  </si>
  <si>
    <t>Select a City</t>
  </si>
  <si>
    <t>WIND PRESSURE CALCULATION</t>
  </si>
  <si>
    <t>State</t>
  </si>
  <si>
    <t>Andaman and Nicobar</t>
  </si>
  <si>
    <t>Arunachal Pradesh</t>
  </si>
  <si>
    <t>Haryana</t>
  </si>
  <si>
    <t>Ladakh</t>
  </si>
  <si>
    <t>Meghalaya</t>
  </si>
  <si>
    <t>Mizoram</t>
  </si>
  <si>
    <t>Rajasthan</t>
  </si>
  <si>
    <t>Tamil nadu</t>
  </si>
  <si>
    <t>Tripura</t>
  </si>
  <si>
    <t>Class of Structure</t>
  </si>
  <si>
    <t>Mean Probable design life (years)</t>
  </si>
  <si>
    <t>Basic wind speed Vb (m/s)</t>
  </si>
  <si>
    <t>A</t>
  </si>
  <si>
    <t>B</t>
  </si>
  <si>
    <t>D</t>
  </si>
  <si>
    <t>Select a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</si>
</sst>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i/>
      <sz val="10"/>
      <color rgb="FF000000"/>
      <name val="Arial"/>
      <family val="2"/>
    </font>
    <font>
      <i/>
      <sz val="6.5"/>
      <color rgb="FF000000"/>
      <name val="Arial"/>
      <family val="2"/>
    </font>
    <font>
      <sz val="4"/>
      <color rgb="FF000000"/>
      <name val="Arial"/>
      <family val="2"/>
    </font>
    <font>
      <sz val="11"/>
      <color rgb="FF000000"/>
      <name val="Arial"/>
      <family val="2"/>
    </font>
    <font>
      <i/>
      <sz val="11"/>
      <color rgb="FF000000"/>
      <name val="Arial"/>
      <family val="2"/>
    </font>
    <font>
      <i/>
      <vertAlign val="subscript"/>
      <sz val="11"/>
      <color rgb="FF000000"/>
      <name val="Arial"/>
      <family val="2"/>
    </font>
    <font>
      <i/>
      <sz val="7"/>
      <color rgb="FF000000"/>
      <name val="Arial"/>
      <family val="2"/>
    </font>
    <font>
      <sz val="10"/>
      <color rgb="FF000000"/>
      <name val="Arial"/>
      <family val="2"/>
    </font>
    <font>
      <b/>
      <i/>
      <vertAlign val="subscript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sz val="10"/>
      <color rgb="FF000000"/>
      <name val="Segoe UI Symbol"/>
      <family val="2"/>
    </font>
    <font>
      <sz val="8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4" fillId="0" borderId="1" xfId="0" applyFont="1" applyBorder="1"/>
    <xf numFmtId="0" fontId="4" fillId="0" borderId="0" xfId="0" applyFont="1"/>
    <xf numFmtId="0" fontId="0" fillId="7" borderId="0" xfId="0" applyFill="1"/>
    <xf numFmtId="0" fontId="0" fillId="8" borderId="0" xfId="0" applyFill="1"/>
    <xf numFmtId="164" fontId="0" fillId="9" borderId="0" xfId="0" applyNumberFormat="1" applyFill="1"/>
    <xf numFmtId="2" fontId="0" fillId="10" borderId="0" xfId="0" applyNumberFormat="1" applyFill="1"/>
    <xf numFmtId="164" fontId="0" fillId="11" borderId="0" xfId="0" applyNumberFormat="1" applyFill="1"/>
    <xf numFmtId="164" fontId="0" fillId="12" borderId="0" xfId="0" applyNumberFormat="1" applyFill="1"/>
    <xf numFmtId="2" fontId="0" fillId="0" borderId="0" xfId="0" applyNumberFormat="1"/>
    <xf numFmtId="0" fontId="0" fillId="13" borderId="0" xfId="0" applyFill="1"/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64" fontId="0" fillId="0" borderId="0" xfId="0" applyNumberFormat="1"/>
    <xf numFmtId="0" fontId="13" fillId="0" borderId="0" xfId="0" applyFont="1" applyAlignment="1">
      <alignment horizontal="left" vertical="center" indent="1"/>
    </xf>
    <xf numFmtId="0" fontId="10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center"/>
    </xf>
    <xf numFmtId="0" fontId="14" fillId="0" borderId="0" xfId="0" applyFont="1"/>
    <xf numFmtId="0" fontId="9" fillId="0" borderId="0" xfId="0" applyFont="1"/>
    <xf numFmtId="0" fontId="8" fillId="0" borderId="0" xfId="0" applyFont="1"/>
    <xf numFmtId="0" fontId="18" fillId="0" borderId="0" xfId="0" applyFont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7" fillId="0" borderId="0" xfId="0" applyFont="1" applyAlignment="1">
      <alignment horizontal="left" vertical="center" indent="6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wrapText="1"/>
    </xf>
    <xf numFmtId="0" fontId="0" fillId="0" borderId="0" xfId="0" applyAlignment="1">
      <alignment horizontal="center"/>
    </xf>
    <xf numFmtId="2" fontId="1" fillId="4" borderId="1" xfId="0" applyNumberFormat="1" applyFont="1" applyFill="1" applyBorder="1" applyAlignment="1">
      <alignment horizontal="center" vertical="center"/>
    </xf>
    <xf numFmtId="2" fontId="1" fillId="1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/>
    <xf numFmtId="0" fontId="0" fillId="2" borderId="1" xfId="0" applyFill="1" applyBorder="1"/>
    <xf numFmtId="2" fontId="1" fillId="0" borderId="1" xfId="0" applyNumberFormat="1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7" borderId="1" xfId="0" applyFont="1" applyFill="1" applyBorder="1"/>
    <xf numFmtId="0" fontId="1" fillId="12" borderId="1" xfId="0" applyFont="1" applyFill="1" applyBorder="1"/>
    <xf numFmtId="0" fontId="0" fillId="0" borderId="0" xfId="0" quotePrefix="1"/>
    <xf numFmtId="0" fontId="1" fillId="1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1" fillId="12" borderId="1" xfId="0" applyFont="1" applyFill="1" applyBorder="1" applyAlignment="1">
      <alignment horizontal="center" vertical="center" wrapText="1"/>
    </xf>
    <xf numFmtId="0" fontId="0" fillId="0" borderId="8" xfId="0" applyBorder="1"/>
    <xf numFmtId="0" fontId="0" fillId="14" borderId="0" xfId="0" applyFill="1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66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98381452318462"/>
          <c:y val="0"/>
          <c:w val="0.81886351706036742"/>
          <c:h val="0.75378098571011953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Sheet1!$L$16</c:f>
              <c:strCache>
                <c:ptCount val="1"/>
                <c:pt idx="0">
                  <c:v>Pd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Sheet1!$A$17:$A$20</c:f>
              <c:numCache>
                <c:formatCode>General</c:formatCode>
                <c:ptCount val="4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</c:numCache>
            </c:numRef>
          </c:cat>
          <c:val>
            <c:numRef>
              <c:f>Sheet1!$L$17:$L$20</c:f>
              <c:numCache>
                <c:formatCode>0.000</c:formatCode>
                <c:ptCount val="4"/>
                <c:pt idx="0">
                  <c:v>0.70412614271999996</c:v>
                </c:pt>
                <c:pt idx="1">
                  <c:v>0.80003899008000001</c:v>
                </c:pt>
                <c:pt idx="2">
                  <c:v>0.86738205311999983</c:v>
                </c:pt>
                <c:pt idx="3">
                  <c:v>0.95538719232000013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15-4A8E-BF94-B7A30E604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01648"/>
        <c:axId val="628304144"/>
      </c:barChart>
      <c:catAx>
        <c:axId val="628301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Height of Building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04144"/>
        <c:crosses val="autoZero"/>
        <c:auto val="1"/>
        <c:lblAlgn val="ctr"/>
        <c:lblOffset val="100"/>
        <c:noMultiLvlLbl val="0"/>
      </c:catAx>
      <c:valAx>
        <c:axId val="628304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dESIGN</a:t>
                </a:r>
                <a:r>
                  <a:rPr lang="en-IN" baseline="0"/>
                  <a:t> WIND PRESSURE(KN/m^2)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301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469816272965886E-2"/>
          <c:y val="7.407407407407407E-2"/>
          <c:w val="0.87437751531058616"/>
          <c:h val="0.8416746864975212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Sheet4!$F$35:$F$41</c:f>
              <c:numCache>
                <c:formatCode>General</c:formatCode>
                <c:ptCount val="7"/>
              </c:numCache>
            </c:numRef>
          </c:cat>
          <c:val>
            <c:numRef>
              <c:f>Sheet4!$G$35:$G$41</c:f>
              <c:numCache>
                <c:formatCode>0.000</c:formatCode>
                <c:ptCount val="7"/>
                <c:pt idx="0">
                  <c:v>0.70412614271999996</c:v>
                </c:pt>
                <c:pt idx="1">
                  <c:v>0.70412614271999996</c:v>
                </c:pt>
                <c:pt idx="2">
                  <c:v>0.75208256639999993</c:v>
                </c:pt>
                <c:pt idx="3">
                  <c:v>0.80003899008000001</c:v>
                </c:pt>
                <c:pt idx="4">
                  <c:v>0.83371052159999992</c:v>
                </c:pt>
                <c:pt idx="5">
                  <c:v>0.86738205311999983</c:v>
                </c:pt>
                <c:pt idx="6">
                  <c:v>0.91138462271999998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A-4670-9DA5-101516866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25115296"/>
        <c:axId val="1125115712"/>
      </c:barChart>
      <c:catAx>
        <c:axId val="1125115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15712"/>
        <c:crosses val="autoZero"/>
        <c:auto val="1"/>
        <c:lblAlgn val="ctr"/>
        <c:lblOffset val="100"/>
        <c:noMultiLvlLbl val="0"/>
      </c:catAx>
      <c:valAx>
        <c:axId val="1125115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511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Basic Wind Speed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Basic Wind Speed</a:t>
          </a:r>
        </a:p>
      </cx:txPr>
    </cx:title>
    <cx:plotArea>
      <cx:plotAreaRegion>
        <cx:series layoutId="regionMap" uniqueId="{BCEFF117-ABC3-4AA9-B74A-617ADC0313E4}">
          <cx:tx>
            <cx:txData>
              <cx:f>_xlchart.v5.2</cx:f>
              <cx:v>Surat </cx:v>
            </cx:txData>
          </cx:tx>
          <cx:dataLabels>
            <cx:visibility seriesName="0" categoryName="1" value="1"/>
            <cx:separator>, </cx:separator>
          </cx:dataLabels>
          <cx:dataId val="0"/>
          <cx:layoutPr>
            <cx:geography cultureLanguage="en-US" cultureRegion="IN" attribution="Powered by Bing">
              <cx:geoCache provider="{E9337A44-BEBE-4D9F-B70C-5C5E7DAFC167}">
                <cx:binary>1HxZc9w41uVfcfhhnoYqYiEI9HR1RJHMTZmpXZZdL4y0JJPgTizcfv1cWZJbypLLrijVN6MMRzgk
JjIvcIBzz12gf18P/7oubnfq3VAWlf7X9fDr+9SY5l+//KKv09typw9Kea1qXX8xB9d1+Uv95Yu8
vv3lRu16WSW/YBfRX67TnTK3w/v//Bs+LbmtN/X1zsi6OrW3ajy71bYw+k+evfjo3e6mlFUktVHy
2qBf3x/uytK+21U37/KdTkup3r+7rYw048XY3P76/tnb37/7Zf9D/2DAuwJsNPYGxhJy4DFfeJ6L
xP3r/buirpKHx753gFyfMfb4mD1+9dGuhOH3lv2vXdn8n3frH9v21bLdzY261Rpm+fX/73zIs0nB
e9bv313XtjJ3q5rAAv/6flXdyN37d1LX4f2DsL6b0ero6xL88hyP//x77xewKHu/eQLZ/gr+6NEf
EPututmVu+orZkfyuv68e0XMED5gruti7tJnYAl8wAnCjBP3G5b3++QerBeMerfSBewr/YjqSxvq
ZdD+9MP2wPsNIHlD4IVpujNG6mSn0j9bmL920jA6wIxxKjwM4MELPQOP4wOXIux7Ln78znvUftaa
l2F6PnoPl/DiTeECWy5Vu3eN2t3c6ldEBnkHvgcs6BFY+qfkJw4E86jAmN6fJ/85Mg/2nPzYnpex
2R+/h85vJ28KneMbqVPg49fyTNg98BBxKSXeNzZ7Ag6nBxRzjwLX3R8n7/Gr74/Nj815GZTHcXtg
HJ+9KTB+U7bagTYp3v3E7vyLPMYPiH+HCLpzQvB6zmOCHnh3gMGJ+gbbMyf0Vyx7GaIXJreH1m9/
G63n6uGJYML+gScI4cJD99N/zhmC3Qkm4rNHF7wnmF6w/fsH5v/d9Pek0T8slrTelY+n9yUF8hc3
KDsgwAtcIP5tBz4hjjuVBG5WuILcPyaPX/2gkn5kzXdQuR+2vxHP3xRtRLdFKh+X4xWQ4AeMEiJc
iB++vp5The8fIORRn3sPscfeWfmhNS8j8TBsD4lo86aQCCQElq+IhHcAUR4stEdeQoLDY1cwBlrn
8TvvD8MPzXgZgodhexAEf5uV/0dpaVG/opoBjUkYwUTgF0nJpweuh5lgGN+T0p6a+YEtL6PwddAe
Bovf3tQxWNhM7czjnnwFRoLQWWAfce/RPz9X/Aicu+8Sl0Fk/VS1gB27HxjyHQweB+7jcPimcFju
1LirXvE8YHGABEeCwkZ/4px98N3UxdSl/J6n9lzCT9jxMg7fBu7hsHxbnLS9TUDU78bXRMI78EAv
IeI/6CHxDBEBaQvfZ9x32Tc19fRk/JRFL2PyZOgeKtu35ayXsvyHgi2CDgQmHuSNXkwagYLChGFE
2HeOy18w7GWM/ji1PaiWbytLcQiyKk931c0jv7+CTyEHzGMIC/5wgPizAwTaymNwvCAve3+A9lzL
T1n0MjhPhu6hcrh8U+5lvVPVzuzyV6Q1RA985FJM6csnB+J0UMSgh1+OAn/KopdReTJ0D5X12xJf
61sFvub1DgpyDyhkUin2XtbA7IC6HMNZeYgW92KRH5vzHTweprEPxtvyMRe7Uhbvqt2NfUVA0IGL
GHLRI3M9d/0+B0B8F7veXuL73pajH9jyMhpPx+4hcvG2ykSb3c0uf8UyBJRixR0WWDyUG/bQgMQj
BPAUtPG9NN7LW/3YnJcBeRy3B8bmbXHVZpdD9eGmv71tXvV8YJ8BHPy5S7+L1ikWIIr3wvSftOJ7
QDyZwj4a0Zvy59vdTTru/oHaA3QrEI6gtvCgd9EzqQWEhTkXjJCHhOLeEfl5s15GaH/8HkjbtyWF
tzvQwtCzYdRr+nhxQKHADYW5h7IcOPHn8T1yuaAu2nPuP2nM93B5MpN9UN6WEt7uKtlY9XochkEH
E8og+fhixkuQAw6JYd9DX2t6EKE8fvV9Avgn7PkeJg8T2cfjbTn5rZxq9arVKXJAXFhulzz3KV+b
d5iLhfvg/fe568eGfAeIx4H7QPz+plzK0S6BYORV43Z24DLEIbPyYusbFLIpA1/jP7gad08E/4xB
LyPy35F7kBy9rZDkxFbZ7vMjX/z9RApxDzjFiHp3VainTsM7gJiQYwqp4a+vPdX1YztexuFx3B4K
J8HfPRjfbR64myGccOH7L0t8fAD6HkOyaO/wP1r6V1sFHsftz/ABuL2evJNdDj2nu+qPPZUn0H0J
baV75bc//OKfbRM422U7bSB393o7DjOIqSiU5cAH3r+ebzxwjtAYi4EFXtx4P2XRy3vvydA9cM7e
VmXoXOa5fM3uDQhzYbUJpB1egoRDTsL370Lkh7TeXoHox+a8jMfjuD0wzt9W2/HVrTbvgtsKXOUr
HpK7U0CR5/rgAZ/QMvcPhA81a/pYN9qj5Z805mU8ng3eA+XqbxP0HpH9s7x1cQu6JXnV6inyD0CV
MJ8RWPMnkPjiwIU+Dgwd4PevPT/yU6a8DMiToXtwXCz+rr/8n4VD3QVYrxjyYnLgU+gngOaOZ2BA
5dSn2Ifa3ANV7Z2Pix8b8h0oHgfuA3H2poC4NAbu3rx6Nzf49K8lU/TQn7nXn8qhrZjBuYEzcu9f
9o7IvVU/0TX7MjZ7w/cQunxbGaKvk4Ec96uGXaCBoRjqwl2Ih4aC53EwUBgUHAjxPQgCnjYa/KQx
fwLL40z2Qfn/28fvifSHW09PI4Fn7/iL978whmZZ7CFoMnhJbgEakDliHOrbLyrgH1rzMhwPw54Z
/g9f6NrzMU9udIH3vw/YIihBz77eq/vpp98Z+meXIO6RW938+h6KPRj71H0C2Z0Jz3b9QzPrS4Nu
IRr69T20gEAJGxo7GWcuufv//bseZCA8YQcc3YkzHwEhcohi3r+ramXSX99jfsC5D5AzJBB1GQbX
pGv78AgasGCUywhQKGyOb3cbT+piTOrq23o9/PyusuVJLSuj4YPvsiTN/fvupgizg2ZrkOsQwBMK
SWEOs22ud2dwgRLejv63rLymBPvahc31WnRTfZKJXe/KfKGnuNnS4bL01LlunTSYEEezTHYkjK0Q
YUYKPSNDf9ENqopUK525cmITZK7tj6rUb4M4rtQizuTJSEUSeL3Vl32c3faNry+RVBe8L8O6G5MT
nXmzguU6FI49w0oNm7QKEsSHyA6nPaviqCqYF5q42DZFtZFlZeYTwfFKJUkV+PVxSabxNJ3GNDA6
zNpOHHdlnUeo7f0jTu1MIxqoQkdgAotEP5LIqeOwzUweVVT7q057nydL9RHsh0szoumzxmuTtlGL
9FXvF+2CUYfMpmSYyxnOdB2M8XA0JH5kU/0Ju4RuQGksctnO4m6c5XXRrStSzTm3V0mmm5CTvgwk
b8eZG0ovLWYpVteVwIskFTZiHYkqv62PefkpY+yjbRwSoj6pgxWRcT/TLIhbhKK+MRu3GlTgdgpm
kJJ5UQ8f/fyi68bV0IxVOLBkh/0+XVmCx1DUwdB+pnUxhbWjbFAqbg+7yU+DIu1toJOsnGWlCNJE
ZIHuaRYkVTmFfXws47xd4NwJ5MC7QDgpWQscz0pv4EGn+jSgVqbrfGJsrvnxkBKz7sr+3KTTmnhK
HHNWtgGSwq6HPuNhK+MQtYk9LKAhJMgsLhfIHcmck7EKapKbRVxZHXA/Z2Hp5Pkmcwe7QUIfxdqZ
FtYTPBjroVkg4+LAYYU76yWmARjRHuokOUlU+cGV3gWjnp1lCdXzRByLxL1NCiy2Ke/dLU6rLBSJ
XvnlJK+adDrERLHDsWFjZEtj5pzJqwG1502enIoii69ED2gUVZg20ly0dR4AIupwnIZqZhXOAjhZ
em3aqluWbrekts/WdkLVUnXethxrM2+NzSMVu/Gm5faMENOf2Cy9NH0q5l7iFYtGtnhLrV0kVU+j
MR3Zeoi7YhUX8WnWuHMzjmo7MJRDUuK/CaBnRHBdN6OSSfpwz/nbj/+5qEv49zVp9N9f3lHtf3/a
Pt6v/tN3LW7ru2KE3n/THaV/+6z/xnB3HPotNfUip3+Hte+va3/n4U9SuscgCPh2A/sPdL5/5e8J
r38dec/pcLftruMSLqkAD9M7gn7C6XC1yCPA24RTH/rOvnE6go5a5kMTJ4esNbsj9W+cfndh+I7S
hSegFQ0SK3+F0u8qdc8YHZoRfcQEJM05g44EBr7jKaMzXTgdspmZK5v0+jy1nF/4Fk1tlEqjTvDA
azcYUOpGpa3qUypHL4AUXDynrslmhUk8KHZ/W8IXnAziPvTQPbMJDPKhqQhc2l2ti6M9L+N6HZPO
KPCsRlp/yPloo5iJeMVt06xIXJNToyoddXlHDuuh8hZeWZYLp+dOOFRVMQTjgEkoW1Z+MHx0AxSP
cuE0tbdJWIfXOZr6WR5natOK7IY4pb4ejB1noiQiDVrH0tBpncmEQ1LEM6N9eZ2Cl/qI7eSNy4yP
Ys1s7o2BwF0eZo7Kx6C3A1qpmA07TEg9J3069GEnK6cNPVLEKvC9zKeBSDlKAkgpuzcoV95FESd5
KAqZzKtUkLnJe30ii7wGfsV5/GVsOxq5Ve0Fxud6ZVmnjlWeyeO2ZG7AUm7nkNExJwkjcYRt5c9G
Z1ChrRy97VGTlAtpsiqqoVJ1mfbCmU/g108bl5s+HKAw/0FTV2x6p8xnfVf8DuTpRgPBNvKTHlyw
B2zGejGEDfWqEytpMmv6tpn5tsV5mI9O8ynxmLnwWreJhKxJZEC9rAXNk6Coeu+jyyd+leJRzmMa
l4dlqehlyom8yJLcuer7tptPgqqlU3ARxEPPo7ZusnDK3P5T36l6WU0unZO4MbNE8/I2Zo7dCp+h
IHMaFTp+N94tbD73S5tukxolR1NcZfO8FuqKx46K0swMM22ybuHnlVjknmwOXZLI88TG1SxRUge+
1VXUl0oux8k64FCc7KTJc/NRZolZVNrU4ZQkJiRDHc+yxo6rSbg8KtskPSk90YFCuNsABS/mretW
s4bocl5nLgqnnKURc4ZimygjFv3QJFcTdnAVOKgbtw4r6yAvWjyPSYHmuR2Gk6lv+402xJuNiXEO
XQNTckRmT2kR+wu43Fyf1LUikU4dG2RTqcMYMqxng+eaja9FNiNYejNnbNowyY0b4apl4dDKLlQd
ma6smIYk0H7rHKJelBeTMkPAuSxmNmN1aNOWLVmZkMAYqmdDOtBVo8okLF1ahllNdDikbRtmDcFt
kOBmOOTab2bNkBeHfi5MqIzDZyYz2AQ6HvM4KMqJ/F6hrDyuHYcBd8ScJIHTDD4JqnIsl5ktyOGY
+nEAiZ6uCWCTiFCMrVpTorqjYeDTost6d4Zz0y8bL1HrgVTx8eQWw1JRlG/GWqVfymSwcJJMFSIx
xZsR9e7x5JP2YwLsuxyt9heZjYtIdV2zBfdpVkWVpWs3b2BmoP7SWdsVyRo3XB6yzHhL01t7rWjR
ngFB8lVnMudExwakiJ/FoAxYmYaNtLYKTNFYuxoyT4GI9a0dFzw17TQbMwe0Uz1CBdkGXTk6JxRZ
HgeyBf29yBxE2qB0dauDlOf+QlKSXtFS1lOIPVHjoEkLkMXMawf+QfQGPiuNOQVhmFG/BLncgHzm
xNgL2nXVh1IA4AGiqamiSVROHXRpU86YdmURCqMms1aiHE9iLwNtOsZF0hx6NSt2vNDeR+5LvqyV
IkeUGmeLh5qGcV+UNOraIanmerDKmYH2t8vWm1C+KB3P7Ijjlwt/pPJTpWOchCxN6o91ldoFQi0N
026qNnEveTiWZbVKMXxi5OB40KGqpaQBKVrrRWXc02HFsrETm6aMUX7LHE/bM9g09HxIBJMBLpwC
NmXjNDsNu3IXx7j6wGGDr63b0NUwSGfbZ3YcZo3w6e1YNB2KWt2IbdJ1H/NSOGvjy7IGNm+9JpSd
Azq60DwtIna3/yiqvXlsbKXmWWHE3BQWf5CYZ5+mOK2duS0qWpwbresVUJw8V5PnXidJOlazCaUD
2XSlaL8kpSbuzOuM/eTIZriVZaaiuE/yaCoqslIOo0e5HPANwR1tAE1SLxNQtkcSsPw9n8BUNzbq
qEs4vo7d3tCTqSrEQufYPSkpa89omVfnY9m2oB+FSgPwn7wKTc08Cfyp3GVcD3w1pQkKOlryKwkf
tYIlUQF4Hz1dahT72SG07fqrNmtl5KbO7wpRXc3ygUh2BrwpP/UeSO4AWh68a+NgO9dWaLwyumuT
Y0tlNkRFl8mgHWlNgpqKCqhgpMUxG2o9c5CTnKa9138sORouqXb9i9qg8lAg7c1lVfWLxqRy3pAE
L4Xnj0da6G7HOkdp0CB9FuXG8CVNwKZxpHSNfMpDUC/OqTfiejGyrG4DH1ZxzjvHGUOcxN1lO8Vb
ByWIhHkGCjvIe4WPyiYtvaihfVWGU9qVXuhPNP/Su6g88TI9LibUpeuq7/2PPknK0ElTFFYlJWGi
J/+alpN3Y03BohrxdjYVNG0Dp8zkGjl1dxdN5CqvwzyuzbBOKK3SueryZoA/r9NX7krJrBMfkI3Z
RVmTMsCe7Gct2B26rCEzbLOmCXg32d0wxOCZUYbPhNLDzK2qaZ52g7fmUlQbn/n2U+L3MhJlh3ad
buuoo4mdlQMopLSLVdg4OAeiVZfcLZOlYHG5UH2TBCXNmlA5YzGb/NoJES8okEfdh7wek0CM8JbC
VZ9bm58aOI0Q7SzzToZ1Hq/Lkm3wqOeW2c1APk8J/aTGtcEqGszKbXGQJ82FSdhpmlwou+5bfVOD
j0TWL8Ja2I8QUIfEstOM9qHQ6WXVek7Q+CbCmG3G0QvxgDfZWK1r6QWFuqiL7eCcmzib1VaEts0C
O5qlX5CVX+WRydLAH7ojiLlX7tjdlDQNNRo2VPTBkAoVJiSJqsENGpyu+FAGJB1Cq0HBVXJeFc4C
9GYetNhJAh5v3Fau2FSFruOHLu0/ptVw2+C1IumGsF1O2Cqemk+oSNfYn4LUHwIz6lPY80VQ5+XC
5GapXD8oMhYI+6WhtxY8mu5PKXxxCy4dV2cqKYPBrYKMn3pwNKW4LNR5Yw9tPgUQOlwU0sB5/eT2
Q6TNSVoWs0ofZ6IKUL7LeBflxekIQTbxzgRNo7IDo2O3m5Mq51d0zMuAOf5JOvE0UG78pRs6HqQe
XcmGtpFSGXyLjy1Pw9pAakC1d0E5+IwFI4MJgFojygbIhsjPGALW1eAavmV9Xax13FSBC4ol0pIU
QScMHCXo8DjvZS+3nPXbRjsblk/1BR2ZjHyivSVui6VDmD1sVYzmukByzp08izK3cCNPl6dpKyEZ
MfpNUE/1FjkiWeQElkw5/hoa2pOAFo1OgmpM821pIe8E+Ru1Sw2vI6tHcSeW0sjpUXeUgtNbdai0
U2A4r2SoBxfXh55X8aB0ym4BpCK2EtuxBsXsHbWNU4VOHp80vb6teucEvH2y7FXNI0Ka4Sb2K0mX
WVOPtx0uCz+s8sT/mLWYhb4Y2rPcF3ESZHEN52j0J9iETdyCyMmo6gJkWHGRDxJ7s6HSbhYHHkjW
IC4Lr1hJnsJACd8b5jWE5n6T+ytoTmvmrFUV7LO2WfjagTFGejpQXeqSKEWp89nDObipgrqzQaZa
zLBucLdhXtqweZPlBvZGBWuau0kSDF3m+0EMaR28At+UesGUWttEPUnQHDJC6Eqneb+uGJHLiTfD
wkCl/lp7mTvLyeCY2WhzkMc1rlaTdevQaYya+fDn1SKuxmkKYlfFYa44vfK8cmoiNVBWBURZMadl
40eVJlIGNM3GUzVwDLtXdeBWBa0CD9csTLWFY9eUsB95x9PN4ElIhJS+lWHPJx0hr64/OGyaNGSs
1F2gAcHgIm9KDVZ47dnUMxoHg8HkCPIikER0m2SGh1EcehnkPGqnyE4y4k4LRZsyZIkLUWvPu6Xn
TfWCOTFZudwOEgI1Tj7VtPUjI2pIqTUJD0sZ+9sxLdIPSo1NSNUwzMusiucoi1saQCxkNspL8jXL
ld8FWXoX+2XKjUSS4pVLvREOvFeEtKjWRV1cFtBCu7Cxi45x4mKAGdRZXZfOxwnL+FAqCIJAgqtt
VviQD2SmX3uZyJegzqbP0jXDR+sW46JvuLsaUVrBXiPOFI495gFlSbMZ4toGIDGbpUOzjYP6k85W
+RlLSki7sT5fV1yqgGWxDGPEuxrCw87flBOo4QA3TrkEjSAirAXXASuyrA1gv5QW0ow9WRqUich3
uFzE4LfWdvQHIC9c5gtS1nglHP6pQD0NOe3bCPJ32ZYPdpnnNrT4S5PkK6z8ekadQUfVNNkmUNhz
I9CE6JPjF3oV2yyOGJu8i8zJSNBNPc1nXlnIDa9iFEyGm0DGJlvGuZYLPiTZpe+I0QSwg4BRLVLj
Mk1a8dH1GrogWeasvMbPIpsMetGyGuRjXWBgD42ukqmLS4gtqvqD32P3nEgXrRxl2Bw1nTosKxTP
YRnHS9RZ7yyfWqBcwiFN2knVLRT4mm1agnx3p6a/RghVK5mR5HMz4nReARPMPOuWm8rxJWQgpF7i
sWNB0wu9BE/rr1SaQ0ALydCQFCM/GyedRqj3pzAxJoscSePN4Ip+A8mB0Y8Qq2iUx2S48AeZfXKJ
LCEqzYYZEqafGWH0YZnkNkh8/hElemuH8jq2VfyxajmbWw8C7x4VXVgWHVqygesoMf00z/iUzrLB
lkthmAok1LQP86Gtln5p7CYWDdpKW5E1U6kz8z1eLAfIi35I4Y8YLhVkSg65QyrYpX28QVnDLoXn
4KMxi8FZxEO6aiwznwnO6k1u/WwKZV+xKO97vfF07Z8WxYRXRQ0Zy9rRbCnQANFdHVfJIXbu0slZ
MgxHEynbWYOkd5l7WbrJOuNdQWQDmoRZDuJu4mW9qIXTs0B3xLEhxSUChWjqq8lCSMFJ3s/TMmsg
nO3GNSOm/JyNng01aeVMFVm9TjteQP3A649838l+H7scL/Ka43xGcrAoqW1uQr8a6EfWZc0ik0yc
6qnj4dC4csU9CNdFnA6wmZ3quoszXQRgdbzJhB7CnNkWaM1hap4W1t/mWYcv/K4XswQn6awvcXtU
WJTOsNslRzhm9twDjbty9WgDN8uqRZ5XIFXdpmYRdOy4N45jyEYjVc+Bw53QRymO6rbvZrVT9kdQ
EMEgbFrw3gorHKWtAT5n5la0sdjCtOrZUJTJrSemalHKUZ4MHWvOW9gJ4GUbfUKk8I6LxG9R2HQp
C1hJVEha0geJ2XAh87NYarKJy8pbkfouHeKK4QM1fXPk0UYeDor4531WQ0w6uHzulT44DOnTRRk3
d0WetJi7E5Og2s1QQ0jbylOIkvW8LZS+cEYVB25ikuM8FniLpe5WzHr5lkJlK9K80ReoodWCZU4c
qcYUEXXAec9073wkForahUStnSVw733e67E5T1qoZWR+Gu9KHxftTJCyPO6KfLroEz4uXZFPJ+3U
Jb8rVmbbLs9WMWrE9ShkN4MDE68anDRL4ielCnLeoEMv6YYxyLPRJoEhU3Io6krtbHfnsRik95bE
kPaoNXK8ZBgSGVXbNqushAkOQKeRTHEXFr0Bp0aadO5MmkOao4X0WjO6/XkGf8AIpl5AmcJM7Qy3
slgL0vBLnxXtCo1FP6uJO0axC5GH1WQ8NMbJF6Kp1LIp+uYCD0X2Jaur8rx2iLfhsWBzERP2e5qR
6VjDnYBFL6X2g8F3eRN2NHVwUFUQr8zyLk55QGxP8eE0Ou4NROjtSUyIM8uTXupIxhYdg3xOFjXE
4ziofTMcO15PzIwkDU2DAfKWUNErfLtoPRxfIUguHvWqYrM6zW1U0qGDLZyCYp2QzNK5dozqthDd
dclG9qq4KlpdgiBvIVekHYQu4E+YojHAPM91UNRlthl0laz9uEHLjsViPTQTAv2JaAyBQE7AZaRT
ho7KHjsepP1IAzH81LhXfp2TrXLcfuFT5EQwL/SlgNSYDf27LRxWraRZlLpZfeIaqUDNEwfcmfLw
uS1xcliMGF8ADVTH2YDUQivZ37iqhWJWVpJ2XruFXwWtYvVKOr573pftyAI/uTs0NfiDHeLGn2ex
qlQAPRCOCXJ3AAltc2s+Q2FI50uTVOzKsXH9e4MVX8Gfuhou43Hsz1lDCx66aGxmydTwJTAhZHX6
3FEr1CnvaswFPYoTgw7xFGdH4BfNlZunZFG4OeiVySTyrB3aBEeuUd6u80iTBwmLvQgZkpw2WS9W
JBvKDfJUss2NdLOgGiD50VkuLhBQhQq9zmO/12NWg5rtimYO5Sb5hTqpgqJeXq6xrLsL0bpkqaaB
HlU1ox8q2LVOUMZFtiq6Jg56M/QN5FDj6QQj3S4r30kO86RyApv2+FxnrjsFFUGEL4jJoMrqoXI6
gzit+cghFXUoewjtw0GM/c00Nc2pmFoeJsrGsyJ104sBZxL0QQ6d/aFnJ3fJKmX+L3Vn1iMpzm7r
P3SQwNgMt0BMGRk5V2ZW3aDKqkpjDMZmsA2/fq/o3uc7Xw/qT/tiXxy1VGrVkATg4X3XepZj3zZp
6K7+pOBVEmbUl5Pq82Oqc6hElsv8qormAh19nR2ifNRflqFHjbBE6T7R3lU1T9Ewxtl4gp4xHl0f
DLs100NTrJvUECdUe5mbqX4Yt227WfI1/BYHk9k75etTuvTh2UrHDhtgi90UZ+6sJ91gzNXyuPB1
vF+XpCsBxqobLNvrkTkr9ltTq6pHk/fKSJvgw0a+Qgk3VPPgx71pNN2tqcMYgOWSXEQem59KtfoX
dsvtqUu1uqXzuETFgkeOysCZx75n9dMwGXkaKHdNYY2FPDfzcYXcOMgbSB45KSB2YZOc4ahgy+M9
zwvfzsmZTEw++hWikoUHw8uVzfajRcdjChpsERYPGsa3kRyCn9hgI1cE85ShSIJ5PO5c3KCADKc2
gozFUhMWdpn0B+1d831T4XBrrJUPTTrboyML+xH2k7FV7zfXopKmzduGLfaNwS9BAdq65k7NsT4l
TT0+A2KAd8pW5V87Z8KliKY+XPFQ5vDnlrhV3/C5m+IKb9UGxTiQ7n5BRCctcx0nv1rZsLDYfB32
JZHtRIpGy2kqF1fPb4sn21rUYKB1hWEVn4eciosOaDaWJN7YfZrUJNthi03nImgxXaclzM6WzKLG
lfBfNSZevwSiVY9xHLJ3SJlziq4wWsK9ojaF6OgJNCyjt2A/1On0AjFN3Y4jJXt4UvlSok8kdyik
kqdAr4tAncq6FH+2tGeWcvagWhMel5CgwUwbkRyCds1ZsfAkPy1Qh0ozSfUxB4l/dqlp9qhhgTqQ
2tSQUbZA/8hD79C9Jr6p3Jb3ssgW6OQxfER0BONYi4NyY/852Tz4aUOykiox2XRu3IqHzJYRfotR
vIYtEjLalY4F3hSt3mJbxHwTJxriYgV11tyMhBiza5MJ45r1MgoLWGOMn2K9bYd1CdW9W1Lx6pQT
e7vE5jEcNIEZE33tQxPcqREuvBIZheCUhQWYfoERDa6iGnPTiGtnnGylhURx7lHN06KeZfNOss4P
B9ILjqKXhOLM8pWpoocBcjMPGhAETDL6ZdHdcGAdZV+u77gpZDNBs87nLYUS2kLJSXjWfZ2Mrs/R
0LS3XR2rsjcYDqvokzPTmM4Wfw8iPrcXOUbq+zogszzNc3qUWo9n7FACns0UPmGds4dtJehi+96u
T7hVTJ9ZufoZMl5yN3DCINTMefSAO6X4hHTVl6heWAmNNXC7bWygBdpwjT4TKaPuwLGCQ6pSwt/U
aeRZERDbf2EBZMh8QRdh/JycaJe2OdQaNpwXS+ezmHTwYEK2bZXhqr4hPBGviQprMDEQTtMhXn52
fRLs56Crjx2aOwFpSGJMSstItBONXeZdAiV7h7JIQEKSWfyRbna5k46brnBRw9BhbjSCAEtqNHg4
7hU2VL0JvwscoXMxRva85FDkioGx9J3JtoWAx6apmMOskUWIvXyDctyIp9lkWDbyDC4RsJPQTcUW
9OKFSbbxwq3rdNwSyJllU7t5LLqsaT/JwLtyieCOLv3V0mXYmx77zrmocNkatcBs2MyruYk9LI9R
yq1UcexPQ6NyXXi/ke8L77uLmoOvBhL1F5xoFe8t/rdCLSN+amqnm9pvYig2JrYDqKrmUWtUOC1n
07OnLjnELmqPQ7jRTz9I8qtdkvEL1tr4tufOv2djB6po5GH+PK/hKCASLWtbQHDprlUmsxW/FqC8
ZcmnFat9MVvQvWxK2q3c4mzeRxMf6J759R4dPmpp2t3AYm8/0Is0u1EMUY3uacKEVpN8tNmaxVjT
7Xowi+peVKTlJbWzuGA9RIWX5u1UchzqeLBxBzUyCKg9QJKJJUSxMbpriUNLE449PAKWiaruVNAV
7ZBDGIL9mmAMN9tFJGN0M+LInJcx6OsWEko/oOaQ/U0biRmilVqxDvMeOulYjy3+aexlkUB/rHiq
+wfCtvRuXYX7ZmwWl7aLjS2mzGWPJJTgfpzh/jEUUf/EBM+fSUD9A2CE5GNz6/jVDrNC1dTwo8hm
/dMv2bzLme2+jlsDucCu0GbGZdwuo01t5dngTlBPJkjrNYVCg+X6dep95yuT+faLIb16cNDWfbEt
nXzt6NB/g4o2lUGGFTsdh61a3bzsJAkgTOsmoQ9oWeFmLnGfHe3Y6wREU77cbJhOj1s79knBu2m6
YXXA70CwwVyM4/hNhVl0HOTc3eiNDkc5Tqg3oklfTJbXleS1eVlbnd7OaZ+iBB5NeKNS0aH6jfrj
sgi3YoVK4ovutcUcnNVZmT7D0uGSbpcFUfetGU0KtbXPD4zS/guUdymKGQbKSVLl7qDjrLciIgYi
SJJXmcq3YxoA4Cu23FIojkrJnQrAJ5jEdXtueHvEPasbNyxXv9fovZOzQjWyrCQsRuilO4zf/BXr
i0Vprvn20poueNJjxA/Qb9kxd6QbCjqHIUQ5zUp9bWMg6HD89Zn7O0g97pgv2fYEJqbbpVkdPaPV
cPdmleNTpDuDmmON0mLI6uyZdCJ/a3As7Gfi4/o1v34KaClLV/aRkm/YsDxkJh3PR0ZoffSC5W8A
GdYbr7blPMC1q6RCq88Ua06tY8PJSDlUWHvaI1YJd1sv9XIaQtQRpeJyONnQmKHoXIKaQ6Aw22c8
Wh+D3EW3C6QOaATr+gwFMyXFsq0wHbDdkwtaPMlQija86pTOINYRsn0TC4XlM25ZfqOS1r/Jfu04
emIv3lHuQqVk2p/E9dzlKiMDbnmmjjzV2nRYTtsa2o1mPSzoACQFMm3hoVkM7Ks5Wx4YdMukCOI1
BHLYys8hiu2zUqM9ebLW9yY3jOG5dP2xn1uKTjNJfkXZeFUMaqa+EJ+hpFywrlCoI8AqULgVIkLj
XECQoc/9kgVHakA8VA3YvHtufPSdKRvvIolRXKhhDguaiuCWzElbpqmYSkyYrCsWkA2igM694JnH
LaTHrg0L0mb1Gc4vuiIdLLAsVygFD5SJ4ESZDO5oQ77pubcprGzIErixRD7xXE6HLuLrk6rFMwlb
UlrGVTnChzgRFKo75hp5nmTnvwjThHu69UmVDoKXLHX+g9TdWIXbIt/yVsPqMkHdvFuajm0BVM/t
oYFM5SZSSGOBCICPAMk820jRD7FF03GgdXDOUf+UeWuwMDf9+jwpOx8xFbqqhZ4Npylcpk8puxVm
GmfPm4m2k10xOgk1+U6HLNuHrervt1atpQHfV6x2SkM0BQvwCsgf2b4bWQCMEArcCNe7wPYkK8iz
4yHjIjgo6FvPk/X6Jp236SyaGF0tBMc6L2S8ks+toe19P2z5veeNKDHhxMEGS4Jh1y7jfdjr+F7l
RqTllmTBF1uv07xrNjG/zyurb1jXQaD+PxnExrYl3QrH0bGoNFc527O6+yqXkO+hC6OEVu0c3Oc1
tsDEONGWGUbWa0RW80hZQ26TwKJe/l9BDv8/gglB+UWA6/6Fwv2FJvxDSO7/oYT//e9+ZwnzECl3
mgP7A4QdA/kGOvc7H46D6RBGJhlNcBDa72fZ/F88/HqsIE5+ytEF4bRUnB/xL5QQ32LBrqd3ZGmY
ZhlL6f8ID/8rS3g9NA8ZQmDm6MdBFv6RJUxpgDIRQOOBqParQKEFoPzFJ9gZWv0tmGq0McFQkhVE
E3YgPzwPJkQc7V+P7G/oQXZlA/+dUE/yjEYRAfSEL1TJcXd//Awt8TWOsM7Tw0i6ba9Z/pmm4UXR
zO5gvKkq/2FdHQCvWwqPUMt+ek3Tutv51boKBT8aMpMdV/BXATyj3by5sBD8qnA0Gyt9CCw6y+JT
YoB3xVF6v+rukw1oFti2HmdIaiCg1iP4n6bS2GdMEFVbgj+mY39UUe5BOddduY34RWHFrd1tTJTf
XdlAASoZXAwZsAbybY969oHO9sp1gIdYT3i1onI0+PjnBxb9Gem/PjB8+UxGcWQxgSR3BUT/DenP
pwkS2dpnB1bTl82em2DuKxkegXfmxaDocQ1WWzIHQKIDzxVkXO8ah89PmLrVOZmAM3bHWXdn5ABw
SsU/vc0IoYa/vM04YrAnSIKcEfvTh5OZSWrfLtkhC4HmgVnfZWrZZ6T5EbnsBXp6U0aoR6DzwSeB
llsGPHj5588A4vcvH+H63RTQofMUCC8Y3X9/PilGRgvxEfLVwI5MujffSTRrY/hGR/ngRKcLEdY7
tci+/Ocr/82bwQHfuG2K+BTFvPnjlaHyR6Fvs/wQp9CWwp4WweTffObRinUmLTFAf191fw/E/N3s
+eu95lgNwBYnOOUdScc/XpHUEhkIBtCQNb0ujFxdobrlyeKbtf751v7moSKqkuCYGtxbhgPl/3gh
Fmx40tdZmmbdD0XBgAXt54zRZ3X7U8bqQejoRMn9P1/1N3D4T4sDvujium7GyHiy8E+X9QsdhnSi
6SHo0x9RGt93a3fDV/0FR0u+L2N26eO57Ddodx4K3T9f/C9UMyZaTnA4X4y0O3qu6ylk/z6QRJTR
bUx5eqBNeodZlpeTjg3qvyQrJjhtN27ayoBUaZfTwnoRHtdZi8MY3obTFyGisltktueEPreB3KpG
+jcbXWkE+PeH3/6+QVNfxmi0i1aijIABQIMFxaZHV5bTUwR99tBaiF1gjYdi4OWYCFctAQW5asUV
j5oa5E3c2xZIstMJ/Uh7fReAsdzPkDNKJAvKdAVkRZJ6ONfgZcQWqCPPgeH2HhZdJ6P4VA8Z5Dtq
DsigjQXx/cfQxZDd1s5Wq9kefOTJbp1IU/JtvGGr7vdqQXEHH6OBLIfFclCm4jqEE3jFshoglmt9
dQ5wFPguYdF75qfl0FEPBmeIuv/wnuK/WXOA1ifYTHFu9V+nnVOCOLaK9MAT+RmoQBetYVid2bn3
ybEn9iFZkq/ZKr/RsPu0xB+890c6zDerHB6WvLsdBv1AeoDnyGLsZ/BaueOvIv9FuPgEFomGScBo
Qt9nasdKCjNzs/jbK6F3eltluaXq4Z8H39+OfJCP+O4jnH4BrP5Pg29sV6pQ1eWHzQw3IBxKIKNt
mYzLvdnkHfQasaKwHBBfKBAurP756tcf/sdpB/YBhQcWJCQM/jLyG91MLm/z7EAH85IO6UOQywej
k5cR3TcUqkuj+fQfFk+sI8j+/uWyOA4I+TfUSimCj3+ccKaPwKcSgL80t9Ad++mihN3jg4RlaPpv
Y+7eJgC+BUpajfcRmXKFqX8ksdvRqL4LkXcq6qY9DGu3wj7jF1BMGO+3YZABjlhNAikGWzNOcy7i
YC3gA4A6ykJTahAesbf+EFDTlJCsReESdhdk89WhaXBFFd9wqV7miVTSavjBNboqvcDzmvnSlOEg
isU44Gmw8qRvIZh6Wuh1uK118BIn7AXIDHhm8dlbKIe0afKiHe0Tg1bbt9KWuvdvm1EB5OKnZM5/
CDsfpi780QZHAJp7Fqj9smCFSOemlBDMYfCdZjpMhzCeTTV0R3ifhy4f3jcYI4uGdkR7RSo9gh1M
2O216okSWURjPe2p65FFcAZaBjJWaYZNY1J1GQr/0SVoaQAe3SrSwWZ2U3utch6NS96ulcyofVOO
Y/et5xR7eO5AVPM34rwtRdjfddqHuzr+Pkz4jUiZb4MOPri0T6OTx4yh4QUDjgf9C7ISVJg0smXI
GQqpMXGFfW8nV8ggBqiZ9Le9g2EE+b8rSNN/Q6ah3a8FsPgQdFld1ZTuhsm+9daIki+o+9TwabLY
wFfqPqE17qNm2S1ePXfzcbZ4n6zrf2zt8pwnQP+QJ4Fi6Z+SAVcba1xk9ayMZgTiYtq9LgxDq5sv
joB5d2v3uVn1pjhoNbHuYErfxTmIz0T424WNUTW1cJKVMIdarAA86+yl9lhPSFI5uYAEUWO1jj6r
FhS/peuCd9nyI+dYQIzE9emIodTX84GEIyo1nn6PjFkKhZK0zNr5YwqGPRZmUXAQhSD5QZ+5F9gY
j73ybdVFeipAERZK4AeOgEBQDrxc7YMy4vm4l07+mNL2tZ/ypAjp8AA4C+8ApgMGIP4FwGm84/Vn
sLbQf5Yb7pPKI1aCLtm4atPtXFBNS6PwnjKTP3CYj8Xmhv2ccVZ2ZBwql4NW5JgKA9Nw6kCiFQZ8
PFCgBBk7LnZQjmXll+US3TILmilq1yqXc7xDx/6r6ee8iBj2DRieoG5tcB4WMEUuab9K7FuYe2Bk
I9Ucr1xmbVnRAiU8mgG+V+c5NqyZf7mOmChbynhq4J+l6dvgoODrBf17DW+m6IL+nAYh+nzIjztW
m0roJAZ0kNCCGfi0EZMVmB9acKlRHwNUtMEekqvYdVcHW1qElEaS65Kv/GcQAy/Et1TBDhDw6xIt
zwEgazDvyFomTboX1x0VK3gBdy4rXI8yPLan1lwy+ewM/ZgaxCTnuoaB4+0+WrpDq0DIBuOIdoRl
vyjU73lE6xJ20SPgIoAKPWZOBBq7UHV7NDUGMErNpkA9gCnPMJG0fkiQoC0X6nE1gpKiBkQIGBtO
pQSnKiJx5GJCFiQqKRC0cPFyn0PzgcyjX0UyLZApcP1cm4fwqvRLVHg9BnKj3JskAhSTfug7PCIZ
9g920rcBDxF/RIvm1Hhfz6wrxhNP9HoAj6gQZthOaRRPwGeVq7RC+Qs3vDTz7MD8zZDkg7deTlk1
eTEC1i5a3DTRGs3WdW/tA4sFSKGT6Xp9TjAhk9qcfR+9j0sXlFjXP7TGm+kcCqYhd3BGYoZ/4N4W
oAolzp0q4NTLvQcKXCCOcqNdj8TmGF2W1sCviMZXDyLksMkBjcL6FntMRcWR7QhCe4D7dUAHxbG8
DboAU74UM45U2GmL9021hdQ6fOYjDKFAwE+cLFQcUOJZNaxwXPKpex/B1yFcsoG2XNW3xPoiZFNQ
ENqbKrDyDgPmqe/B2ULANoh8HFUG4iJoyUvAp0elUa656yo14RcOOxvYX/sjofB6AK6hsLEnNnQ/
4J/rAjElMMyL3v82SLAxOawB9ElPSBcAvlvC9d7CmCRXJ0dbm1VkaB/RJgXYDlexg5t8x6Taj9Qg
DNCD0UbIOj+Rjd6BJXxIamy2NYosFD/xcTC+CuPwTonlROR4nyTIILeszARW0wUslQTPX4CJec11
/2iDrVjz7j50UXTRZO2L1UTjabBIBADmSnabX5+RJUOUW+u0CGDalDFjrvI+elNIhwHx639CNHxC
aOH7GjdfVduNR4EcDkEKGC5bH8O4GL5DLMdOPGdY/+vpRgzrU2xBZMUIDqCkuGyp/eGMCUruowtx
AbiMK3iX2JOKnwIvSdVO2DIdMd8jvj33Qa4qv7Zixzl4R8y8ifYP3oCwNgCrihCMc0jbPeUCwxJv
c+9m7ELeVFOI+Y58wWUeeOVl+G2RWEJ+22KtxQAzZsMLNNvBZXmKNI06Tp0HrqTDcT/wfaB4AMq9
xZpP6a1Szb3MO3nuiDtJm6HSua7oaVCz0kYYYvOKiM0SBwc5YonQIK73W2BvJcIFzs1dwZokP9ey
u6Xb3QDopDApPUb5and+zAql8/EW3kn1ewVj8UE1z0m5edwMRRLahvqZcogYbHVnyKzvrcWjaAXu
g8XPXR36AumfDAbj0FRULAiMRWck3JBB3PiV29Aem3199hQ/ehnqXwjHPdVZ+8njAYVDi5U20/Ob
9airE3ofIfrfSPw8ISzyWmPfFxEc3DJucFXa98/jENwyyr9ziGcPuCKCSmVcx2ElVNRDSgXysBpS
Qa+H5ZOILzrZEOacdXMgJbKm+i7T8duEd1a14zKVHe+PLuD908LJC6xrYJ2CplWK8wJSPYQP8Rwh
LBQM/GBMM5wCETXVRkewNJn/sKPxWESycd8rB222NQdwgHMBO/hNW2hXAUgmEL2ujMCKHXsayIqA
OB9a+U3ftRKadjCsr8yiZvxNXAs7bPcTHFk0hhzTzM0HS+g9erZD5gJ2NoN6jwySjrDo7jr61kCS
uoEMXwwC7hwNAEk7QBaZRO+3eZCMkWlOtL2RiXhG4ongQTThkZL2hJZ5vWlJduk4ZPputLAT/HxP
+hR7y9Cc8Ka3akbdvE99so8RfDxYA7Pe1hAEVwkcFT05WA2Ut4ncpc2Vnd8k1joxVovKyCFIcsQT
PTIzqDR3Ke1+ikAgFaD67iDb/JCY5U3ii6aRGC7a2N9ZqDE8Vw+YcYdczct+lO7gwnQf1dHDVs8R
zkLgv+D37aY1LaD99/qQyOCm0euDpMPbMoQnCTewEghP7KYcqUYv9qha7Il3XZnkiDzj4EuwmIiz
FhSu4+RIXGR+fpypemjidUbpKq+K/NsWb2fN4l+1uMqEl2GEdrOxaajqfHpYUdn4psfiT0oHOBop
vUWWYawEvsDqkLOWV2y5Sm51/kxRP53SFVs8JyPfrfF8zwyKJZzHsCNBxnbReVbT54RuqoqADV1D
PGMx4qSFgsctwo2rf+xHDqgBIZextVWg4qZcu+zFdWtSggfHoiVLMnGwVEvcgfh6HbM5uQyBkSVo
o0ujdLoj7pJFzXGaMRpDqgFSR7t+tggtAdauBkOPQcteEzTWpR+jL/CVjjRbP7Y2QU0XKV1lFrld
w9zt4sJfLnmZkVw+JYLe0YFDC+irFo5cAXNZI7czn5sYsKRWj7XLeRX3zUc3900VTggZpz14Nop2
OhqD27hGDJMHD2DgxjIKsYTSYbtJEvIaDug8Uo6ntAHBMs2rpMhxNLipLV1e40bYKmZTjvwBfhvD
fYMWExVz0IhzzSNVdILZPQ4AviAarX5mXjdFT5pLZM1JkfbR6QAeEqIDAvx13W27mC30rOeTSxfE
8+LBoTwdH7bE365TLfd8Cl5WlsFZnnwRMCQSck1+mt4hCUzqWwS70jLOY1vOQD0Cx26hViXFSLcz
McOpw5aCEvs5owqmZVM/pla8OAFw0kLOnp61Icsuytpo55ZvjsdIAap0P+oFoFkMgSHiL4hHlM0Q
YYIJmZYw+34x0/8IgvG2EQLMkHrKsmuVNG8orhgIx+E6enJE32rdPqMh2KnEsX2uEGxpBBatBTjG
nPWHfK6HIhdAmrLYISQyqaj023wiHogi021FNFKFCYFHp8CvlDCpikkDd7cuthXJhxfL/TONkJhC
UGvH5vyOm6UMOroUxNRoia5lmQN7VfIQ3il/xBfCPLd4NGXcLqixbmM7vzNLkxKzDYKUQfhyapO9
Gl0E4M/+YgkHqxWgxNmmlFyj0QDiYsjwuk6SMmq+LBHbg5WRVe63RzWlv0YJx7Aj6QXB7n0HA6zC
HDqEdXZZOcJoEN8EAhH7aOUVTLrwEHVXy8y9r8vRAehtGSKBS0sLX3dIJBAUIKgz64gA4vv12x+M
kPgqrzKkdfr0qfNBdoiaDGQsRRvW1E2OVgH/NwTHTdxP3C67fOQnK4Dco60vJBSAdgDk1bbzY1DX
Zeo/vM+3HRYSSBRISktU7jxAh0+m9aeegW6FLQzfWVwlDIoDA5D7rxTWORzhAmaJgqTFKnQItg25
cImUQlBpM6DH3eKfdGgABM/qPYVPK9fm3OUNCHJd4WwWGMOq/xnlp1k7WVrf3Iat/lrLtYw3e4ek
3YzYjz4jqoEodIZimSEBl/cYVgQwROn862gxCYNwXwvkiPr1F/XrDvEZ6II0fTJU/YTZc4ht9OLT
Zi7WaQT9HXyYxh36ZDllw1DSFtIkFcilmRoNZwjeyE7NMwIw9wal+4ioHDqoGY0cPleV54fOj8tO
tEYVBOfN4BnFYEHbAdNV6Htq+utinxw3Tw6zuST1hpMkGjT2OhUPFA7RXPv6cCVC8TCOCdiYanRY
DdbI4iZ8CegoKcdF5+iHP4H/F7mM7U6yJSmHrrtBt4zMSxTAi8rnfjdCG5gJkIYVyYWjb+D6jTCN
XSQR58UojP1IbpZlvXRiw1lEA0ewamSgf6TPy5ScMF/eek0QxRvWx3TDYUZBU84ONoEZb9OGgvcn
HHsl3ZC7UUgkQm/CNoFQCiQJc5SZOg7IMHIRPtZZhgG6mlMXsvsxvcqY831rXMnzFuG45Qtian0x
H3XmH+bGhuX1WwmKhbZv8VbvUgwfOrDzPCC4meoUDeESlcCzvztQGMiNdlDDVqRY2HYcYmztvfc/
lmb41WQjFA6KbXf5Ae+gqKcIs2kefxjWHmZM4nJKRIYMIcJYa0KPjqEnb6L+4oDGI2ukI0gaS1tl
Wwv2duw/UjQSybAJnGEx/DLoTQDMowYDjHD2G5KjoUDPn01A0Gk3XSbaHqSHQJDplpcmDd/nPn/K
tjArRwmoWtdppUlaV4x5HO+ALMaQZq5yiX6L9VeYDaABCeMQqviPVnWsaGh476MaPUTjiiThOyie
e9FuOxUSqEwCwRKTshufdiNeIN61waFuZW/pj2XEypT46U7kXaWtzG9ineAsB+FHrJ0bon79fU7X
EjtkU0DL2+k0w7k/U0HE/NhGAatyEzyCvv2GwEP9jIe1HWYHRL9efiBW321QkDjW9xFQ5Sbke0dx
RNUkB+x9gDVx9FYuEYFQd/msHuqI8jLL7S0f6aNhd4P6EiIlP4dxjKMyOiAJPMNma6o0MngkCdYd
hvB7gf33HYTVY9xsFDxh/A0H2x+QbO6LDYemeE++kylMELhUpzVFDKYepmO6TsOuwXFXbY8E5jKz
86JMUBGZPxpEYE1ogdnP9aPNQcfqLlaHeBXvHaQxxNa4KEEevQHUqeshR0ePfg4OEmzMiyXAgrCH
gFWNRblmg0UpWf/qZoaNIddonKcYHW/IT8MTH+JLsMIBGmQncYZG+k0Auyu1yl8yjxNk3IAdq13D
I9kh4DuVCOEG+2TCFWeweStM6cOGA8PPhFOJMqM5WR9rkHf+cdFbApK9u0tEuMt992IgTj7muPTC
XLAP00EfoI6WHUqiAzCMpqpNV4HTp6WOMMtchh3TO9/s1it2PZU9xTKH8DKaX9Z+q7OZniSim6Gp
D7CwcDRCG9Iqapph1/0XR+ex3DiyRNEvQgS82RIAPSnKmw1C3WrBFAreFPD1cziL1zETb2JGIoGq
zJv3nlTlazbecF7nWw16VUzqrYzLwG1pRgRHg6oIVy6yidj38esJ/aKsjtq38f+SmVZvQ1Wojcsx
H/soj3jAB0ZWqay3he04ITrMBV5Oe6jL9Eta0NkKmmWpmesZjgSsB5sBcZLi2oSdE9mj0URlsian
StfPjjcuJ+p6rNbe0GzcCodmtXdwUr2SfNoYejbuS93PQ4Esf2hrDIT2qqV7v9hM0HF2i7SJMeje
gUYCXSFFqi2Whf+Anusk41L/JUi8r1QH5Ka0yosEjrGIJtrCUephtFbWT64od3vLuVj6cNWuYtKa
/apPPwRXzG2BSy1eqwevGa+TBPkxYpYJ6z5pzzmNLo2g3NsdzBrOYRrVKv/L94iyWb7ryYhW7OAX
JINDaPfuUE/Nn56px2wvkcimIXT4dISScQ1spbPEkem1B4yEHJBn6UD2LPNSzidjSnaGm/SxWPxt
XQ+vZtp1R09596hcJzFjy3sJvevGMdm0vdtsPZoFwGNPa19OGx9LOEqQR53rPf1fEKzD9KJjbT/y
3Py6K7FRcG90xvXCwECOqDDOFtBEFZUOviy7H84mVtqlNp1DkOlPFlbCWWZpnGD/CSUW0nbRmWx0
1lMlnC+D0dc+tb7tgb45w+1YmTKBaiCnUCHzd0YS2vfeTzPqT3KEH8WKETExhijvxXn2Oizew2tB
0DOccxlxlXyogAOpVwiyMAIJhQ91G9vAB3iyUOI95p1VrYnY5AJBL33ORpp1g4uY6/KgKmGHSzM+
zcpWqMbiXbkV/lZ3lpus0vA8xq3qRbisk7kj+4TBkgD5zCDjDmWw7N/E89ITkvfZ5XXYMiwRIfCn
f/OSvriCasbLnzJgFdTxeRX1YV6XMuzF0CFJZ38Ypm+VxG9SdZa2qQe0L9wMIh7L4nku0fu8VbQk
IKrPMhE/iZ5rBHs0I/by6tLWJA90M1yoCPeVjdhZdY4IGV1+tx5IRFO3MZvpBzTodBvgvFw6d9k5
ZGfjmsex978UeT/wPzWffZTJbN/aw+sKvGiXV80BW1AEj7EJNc2n4LCdQyLNhY6/+5cTrAlhU1Yx
Aywqx4Hfuy7csEHb23b6citzEaf62oW+hzk9y+ljS87fGQgl9pjnIJ8f9LK59Xo6whycjFD4k35Y
O1q2MXdDTbfwWQ+WPEijDpNVe7JMLMOWn9zGogLLhFl6YQ48gvOL0C9uGUi+XV9QHfFy/C0XZTxV
lFBLCyyQ3AmWdjkeldPTlObduzTi0isnfsPutx6Trd5rZCb9P6Itpk3a8la3hJQi17f/2CgmoS13
POdqI3JP8NtSzy3MWkaqXsc331dSK9EC7SY0W3k1SZOv/qS2lo6+GjjNx0gFcGhn8wERfjvfU1Ue
8v6mcO41qDL1bSoNhTSavHcFxusu51/nFuunJvqV5KXrR3xrqILGme/xZk1Bhc6YBSfMBG2orZa3
U4TwtVrdJXSuWGg8BAQWJmzBR/kcmEF64g0leVoSEMj/YAZWRwyCtNrmfX4AGuaQzl2clbrBm8Pp
XSLFIgvpF9moV71tMEiVlA5CiE1tAnUsKQU7m3g3vmx9V5jdzileam+2PyZ95Y41ctBO5rQVffll
6tYfRjWK8U7Rb6wgfWsq4zkI0ocuc8cI4E9cJBNKZFsGyOHVznDsl7knDeOZv0EwvTaeBl6jQbFX
TgqorcnjdnR/C9sYNlYVEJAW1RdhcQcVAMuwZDCajY63q0suDEI5jN1iOk+Gc6DMqAsrtFPHj7qV
UeuSJIxSwWrtm6NZ8YIEAmxHWjp6bKz9vdAgQrLWXSiW+ja5JMCXGTLBNHWYj7MKk+58zktkXrwP
x9JZ0BySaZNbprf7a1Mkb2lfC8YXDlmZ+QNt/jrm+dFxE3fjz8FlhTiaqwyNxKVDC4bW2ult/9eu
qRqVV/RcgsAbRFPcVgQB/oWXfoE3FzRiuVSiDbl+kI3X9j3hDNz5iEmdVm7JTcIWMJh6jcgpVSeK
LWV5PJv9j9uvZqT0Xt8KehHDE9hJMzfitWrC3pyssN8W82iFTTn9cbL8cVg6GSGba3HOyLtMTHEx
hHkdZF7szIwWrzVfRICed9fbr2kJdGO4f6yOroV1Gvz0NSER6b6487RtMs4xNxPvWrYsh96oDETY
kqTl44jnNBRVp84IqZyvVspFOu6kN7nbbOY7nJP5ME3SpBSffqum4mvMJI9poF95FOtXG0OyVg3h
6ljTFpFiifpedBsUaVzsQqdPdtv3ynL+LqN6Jw85hoQh3tKGdNgwywcuZhEzxLoJorzQXBxq25Gb
u3FNFQ6dvEz3q6/Q8k0nnb9+NsPCs2M/qx4Nk5aC4DgdX2V1OMe3lGZMeIZlk+nTy0CKC115feqh
/QgXi4uxdJjsEeZDfQXggIdql4q4uf+Mdke2UGautsF9/wITBinA6+Iqc96GyYmqwjeiTjcYQWpn
T7MZIJwGyWjfSvovx3Z+KKbGUInpLTGWN9pOf5IwTAqf5IVJeA8Y67chDfrTBIRYalLNOw+anR0x
Hu8kFYYEhbJdaw4XqGAgE9aHRanDbPR62Hn5x92TLhAA1haDplGVhzGrwhQDFbrnKrYMcAJU83ak
iVnt73KoX5qaXzgz19ckNR9A7cF4LbFPtwmhRp15XVMz2PToNHkobkvQfM1w6VJ/fHdTHu2KcPSy
ujvV6xBStd04OVijXe8jGbtwsJgE1KBedcs8Z3fUYA5S0S6CHzC0W3B9tCjFPY+cYtQPOhrMRhFj
gNMYlpr9WtZogD3hAxSxmllA1X7oMNEaC4enA2d1U2n+l57MUdcvX6SHvrhs8Tdg5wA/wIDJ9Ok9
y+JHJuOl8KqtMpw9joKHylpJsLgBj7A8QuOgdiBEuMv7axfglqONs2Op9SdV6dzyGDaiceGfboqK
gErzLICabbQGc6Usre7gjDO/BrkOMktUbZRobYFtwc8zujAGkZ6pz8TTMUk5jhYvQWrhzX5M+wWa
SVfTiubLt54+ND38pwWRvNXsg1acJzwC5EDhkozyd+IjORiVVvEqlz7VnH9pRYJalJdYqiYCzoYk
5QPp6K9bmLgeOu6KanQ3sFcuCXcA0vkSp9OwbtvVW3gwmF5mevXq6JyfvaqKaKrkP9dNQulVY9xN
lR1POfPMoeI2WdFzwWOhNBEQ+LE7/+jZ7UJxVBzVmq4bwV9tdKkMIg9liN0iVKN37gqGNHXLtd1Q
XYnJeDIq7+pmXOEjwfDRJNq8LQvmeM5QbLKheGSY42xIW331dbXlrTKImbV8+3nymDUIsvYVxzux
gRfluBDRkmmbphK4DUM6cs6UpKY6koqCZWgC8tLHOpSXUnjGfmRcGicCvwuOk00/8IIQOIqSqvqT
TUjkGc6foFjfUQhfZ2qmyxxArOT7dmZI0UUdmZP9KPpBPY/qc8mSPqqn/uYuSOCOg2oqAHUxBXT3
eaddraT4mjJtOkrjQWsD77lDhsj67LeZ+jwC1xOuOnjSxHoxZzkfPZlh1HDpDflfMoFnTZ3YJigF
dKADZZpFXja/VrojOIMotk31rOswB9zpwQBKBOqkDLWeqItw9rn7VrbDFE4wGvyFOj25D7Q6EqOV
7lbbVsOhhAOp3BmJ6GJSmYRhnSIsy5x3Ty/KDSEeZ9f7KL+QpulIX7MkBffFQ7NJG486VJSMgPqo
XwecDlpJ4mKyFqJo9cWyi3tGtf3nzQX15B2lVXiE7tdGbgq5Xt26u5rjxDAQkWdoufazTm57KK2x
D2JkYy7poRrQlSZaEBMhZ9Nn/XYo0hd9dobIraa3tvDys0E4JRoUIwK1M4bu1Ik0nkX710wJgUNT
qPFOzK9Ch0E6djQ9gbf3zPrQyOEsLJg6GqlrUk8GFhmnevP69DFNsHBaHiilO70mw0/LJ82IvbJ+
tfb+aK7LM97ef5j8LA6GBi4m+PM5b15hcoP7tPLvZVZYNWacJ0b24i8UDoZgZjcqbN9FIL/WkavI
zZO3JEVOrvWT6ajnHOLKTiTpXjODbuMbwNSszsFwlWxd6dR7CKdF4r65GHvkwtGVJF9rZyNdNxm+
5Xwpt3maxunoPXSG+VYWebsh+48DLrHWaC0cdNkg9zb5mJgYIFCgU46GpK2xDbUWVROxKl54y+L5
8yhmNnVT+hsBnI7XhMhMo/XPAo0b7fU+KyC6bjJyMIV9TgOsM+YAZWvybRhVjHkDU9vaQ3Y1e/69
lreWYVHhzTBG3G488cLX8sjQvN9K4K7MLTBNy6QDjm/ow7EQmDDCQiVxkUHkynZcL0+VlbbIMF7o
tfzs8x3e1xIt5QfZTM6BNsaLMbx/SC19km797jklpcRsMPUtJxkmgJk2s90EVN6noAAXPqaehl65
aHHgTdtK789Mt/QrkucJpwntCbQu6abj7berAh4+DylA1TH2UNC0gKViHfWvYKAO2ZtLbGa4ZE0L
rl2Pxx0ZEtdEU/sh/Flmdq7AESRtmqhg+ggYJhOuP9dm8dNJT5w863uw1S4ZskdvJIDO1e20Bkk+
zkmzbabQk1MsPakQslUelU0SMjFYKT3dJZzskfDbmrzVTm+iPiLbgBPArYa/zel3zSJvg8peVQ/+
0HL8NqraC+nmeM2tcNCAEJ9GnCyhv3b6plbrHZrCFWxLzDN0IEi0v/pKRNXtzSul104jDr3hgs03
YNMujoRH1a7ACAsmR+SCgykm5F0fZ505a9Mcl+G4lvJrbPk0RVp/57piIqPauNcLEov9cht146lJ
u5dUMtfMtelUoHPP3nTqHHAr0NOoDTmNyy0jPGpU9Lik69YozarnhpjVnFT2nYPLM1OZ0wZr4fO6
zN/LqEn8KzhJYAzfGtk95qb1PqbBTq5cKtYw0ZZOVewbxsNqqo0s+2UzOO5NIfFs0Bs3JrmqzQSe
tkxxIZgTAXvpMnSxVqvDrH2cM3xmjjAwvzmzz+BFEBeADV35AfUYIcWsQRQr5/Ig0SNPmLd+vBlQ
SZdBSSVl+dTJudxIgKVbrfxEyGJK2V8Ky/kWJZMso4VPNTDpNnLhnEq3+pc21Yku9Tvxm0sN1cso
KAxMrlzPpcj3888hCw6qfZ3n5eTpDXNmp4IpUt1D1TXWth3+CJv53/DuYHEKEyQQQ2rXVbe/PQpt
u7jpmT6c9Gz4VZyH4aCqv6P1x0fUhhpnYYjOJnSpyYjVbNP06bATDHrpINC8j7GQ34u97+sOL5Hl
bVrWANDxqIOhGzs6RjvWHpeOxriem129gtODSPG5GLALsR+m0apZ69Yxy8Nc9jC15+K7LCgffR0f
BcwDdJpHwvXu0Xh20S2ZnFM7ssVh26926HRm+gJ4BwaDFtxyhqubSSAaFqbigcDaAUzAw1a4Vavr
bZrgTcjpjzbUqNpFcJqCNo3rxLlxipWcfvabYv54SAvEeZP+ukhHCIhLErtW+14uU7Kvg/UdsuGn
Ocw8sWkfhAavUzFQ5PdJGgL4OPChaueiuWeM/J4eDai32TN2avHz+oCf0qR8JfAybZxUEVbP+ec6
xaKG+dEotNM62O3LmKOSq0BeO20r7dI4VRy9dWu94t8JQrsn5D+ZDAab4riUkEKwjQFlMRDLbV5X
TCnnHLWQ1O6iH7X1vZfybogOa3nTk77cFlOdn91FBbjQoFv4ThvnDHfGRs1kUumvc1Vei97610r9
n2JymRh4mitYCrVxMGWcLZgJReDjW02l3LbDnIa9BoUjde8OiqTeaZm27TtjfGzr4sngsGjHErxo
jvoBW8kqvRvd3gcZ7S3O9uCoVfVRJvUb2jWDWy0N68atgSq1T0lmHEHTMdhvHxI7o7JJZvjTBm0e
3kQ+n+WjtMY1RKp+zwY6i2B14yUPnYVuGs9RG1u1uAo6bzjISYRR8zIi5KTlHpY7bXvwM4z/Ghl4
17HIQ7JUT63bn7t5jZKieq5LqngBuiADSBEGVeKBz0wuk2OjnTEvnQZD3dd3PLZjftKSakV1sI24
ml7ylmdkctGX+uzg2Y63mdduR8G7MC3wxtDLceGKyvr2bc2NcHJR32YI97r74wdwT3HxcUAYFupF
UOzLLNE3fe88FP1KM4o40aPfbereVLFqTTKi5rbL/fH+goTOuIi3RJW4ol1P7Inw0+S5H1T9zTMK
fL50wWGp87sMqB9Ql9qQaYdzGE1EjTR7QJKRpzKHv85hpe/0YtjbYtCestrJnz04CZlNa1zif98n
Lj0TI+8Y/pLHxLtkjpbxkZX8csc0US/Z3L6uZWCc/dpjPtRUM0YGk/0g9z9U6clDnSQERezg4oOI
vRTmeKwrbTkV8/pL7DA/dI2c9tNs/vEpw04UbvPJ1uYVWkDOxT7ja0t9IwUkmpQvCj0VXnF/CQph
302CINPtm+Ba3LZNupwqjEQn6TrvQym6XUHM9pzZtcKw1eRhAbFq51jZo15+kjHGJu0rjZnVGnG1
QsZ0cxjdZomjabKvSx8gU9nrj5s8BnbyBRm9OrplFjudeEz1gM6m++uz4nWj6xkmlolhgYTdhJ+3
P6+ZgdDKmgMercQLm1nzMSAfVpggYbcwK9XFoGPgt8LFTotQ4wqJ63TMz9JH0aZoOmSGfcOo4MUJ
XwNSa/3CvgJzi0Ruxzmvk1+9BD2nMx/DZ7/UWSwX0Ai5aqKUnT/44Kv3TL8lNBuRdHzriDgVab6C
s6yKbwXqjD7SWMhSu99K4gzCj8v6hcbkXslZolIU3oM9OU8DzsS0Gq6G/pm1nLWtbnrh5JIx62rO
nak5tgLFTcdyHHZ0+QwTuBprHflqrMsvm0I3B+bMPciv4vqYp6HFnmXibiH/u1FbVu1Jb1RI5vPZ
wU8Swit8mkGs8HMm4mTkJG5IHUBMXYZ8p4LkzKFMR002kiYNqVPCK6D2XsLB47/FOiIt6hTt6VgE
r0FvGKBAK5Dxk7ZzfDwlpj2/zS3AhdxkUq2nQCjIh2J2culmTOlgLF36B4vstNeXIHlFGZvVakTF
OqqtaxN06B2Ar/aIOz0TKT+Rnof2+Gkr3GYm9VNVo5MP1IexSvpDRyIpbJwD2qY8GU57huW/Hp27
5mZbxtmwJCqoQhu5G7wCIMqV42kxK5nkFo7temsS5pst7rxC8RPNYxBh1QtaboFRLNslB7zei/U5
zxAizXGfLfzmGcSLHc4YKJ8ZE6FEPfdzJjeyyvBYHyaT6qKHCIp+OB/s1d/A3z9YzO+KRWmRMxNP
qczmER4KFy8cSgmBk2pTcPutOhYgpl3Qm19Jmt2JwyLdShYnceJLIFuA/jS9T+g1im03qzsaL7hD
wfK75AVFPGF4DemUwWUnOCVVv0cGRuFRGHKIixa4hHRKsREk7JprsVsOUbdYBlrWv4QJ0k7eZ5Fm
Pj4GapY8KjXfYDURLeNU4o4U0WTb1UFvs79O1spLVqzbYVzyg2fSSuSdXcTAfA4r89z9aqX1Lq/n
Px3comY1X3VDPBXMBXaeg+LXFsAdydedjMpFx+tTCgD7TzFMUeGwdyADwITFGH5o3RaP5D1CF1Mw
vqQve3YQ/x6FFhA/EedMSzn88DEmdvdE/0KBa8uo1Cp84LbFK2ZeE+iJK5xIMGXa1lgfaMXruKs8
G+MU56x+QHDFMWQ3Yjfl+hkl6VzONp1Kv4rIDbojZnXjsKq/LH0Ilxak49KT6hCeeC5bhpc+J3XI
Zo+nrlmfTLsGrpcY2P00JjMOawVgv9t2jqdrflgIWVIdAD/zy1vvrYxtzKmITTg8d3CFE6PCzpxI
SkR2r3auk54GFXhnn2RcXIEwxupQ/KqOVENidQoeCFnQ6pcTM79TOXcFvj7Hy7dK6XjE+jdwP/Qr
tvW2stsBopB+25ke6mo6uW+c67tq1EToLl4W5QQkuUZZB4XPMcvsbocA9OBpE4TCTMX1NB3z1r12
s/9mZ1SBRnv35a5YJWVBeW8rbGi0+3HXANe2uy9nHSKbWcp2JACGpPIrhey3JAidjbJRMOYe24UK
ygMDdPy7tS+2y3KPmY771EcRv0eJMsHmEA/6SSzc5BeC2u+9gp5LOkUM1+mucDB1JWkblUtB1T7e
IZnUyeuqXeva/Fgx8/tdsOyhdVdkRJkTMdO3MXYVD87dXjSaBuzLuT3htybxmTURz7RhOctRzOUr
KRR1lujtNZuhX+GyoHOnD4Zs+qNpB++C2aWy1Bqy6ovKytU07KEbS+9Iot4xn9Ni+YR8/vk6aoHT
YyUP1o+uZy7S9RSNrmuyTKdeHogRJ0eQk0+w1G6jQfxUCu9Dn8x/gY3cYvWYWk1QxgfLAhaU2C0P
0UI6SsNI1aEYg/4Kp3Z4tAzQuU2tHgfRN8wi/fUm8bzezEKwrCAvjv//nY+HKtTGFdrQ/zVdjfl7
tB0CfliPd4Wl8Yw23sdCWu8oCCU9GmW77hOYMuyt4S1bA0zQtbcU51SjfdgAW8LgF/hHYCbZZTSK
ORzZ7ACg7cG9S5omMe6/IFU7W5+OBltItk1P29PrusK65qY7kjj2cRJOdyGc8cpSnq/ep9pBUKpK
PO7/Kn14m8EK/qTeQJmmt08c/VC2IMDEUAVwQhsYePv7H0Z71eukPI9teqUQ8falRsFnNcGrXaM8
Nut49u5/QKG95KKvTg1I43Bkf8axr+AbqIJB15o1J3hKp6Yuik3iC2YzAOXsgchTJ1xcutUO26YR
TU5eMlHT/G2BpsNyBAxytS8TgI+opF1ZorcsFBe5w6FiXdhe8qZX3qnG5Gq4P6DXqkuPL7/sKoQ3
5lX9aB68njULc21ojHjyLO4N/9/qFX9qfziKqr16zJRvkzXiVIRBM5DwinzD3mk5g9U8ZwRTXjMc
JI4veNbk3Wk6W7xUWR7VWfPVLpgQ3GqMdBxYiaKyWdTI+J3dc9jSq+K6lsbI2Dl7TFsmKu3IXet7
bvmqT+DbbKfSKCiZhhUdqjuVjaDeWrPb2PoN9WjzUbsmoL6yS7aDYzZPvRMUoaEN4zdA373RtfnV
XZx3dXFT++Ldy0fjlazb8xqY22BC23SBJ6rFexsaY438ZrxhpNoXmv0MIQeKtEtJsbbN69Dbj5mZ
YejJ1K6D29xUXIeOCufAOuGi0VjCh/ehLgGPdmoM11V++UZx4h6csXJabxkaX9jo1rxPq15GNBIM
5kG6JWbcmRJDDPOuZhl2mNloHvgwOSaixLrC8rsG/MSbQGEQtTgWnOu9W8h59MI+qI/4oxhmmvqh
yEqmkcSYgBdaOF8Jb2u1f2r9OyjouTYNPn9KzmpEVFCmfHJ9jFYzrTCcRlYr5aeepT+Yeaarpbm/
Cs+yxQsh8PjtKwunh5Pe37RUu6zs1IGzbEOPZ/xQTNXDOudB6E9Tc2sWwQauqfg7dTwBIQGj9sBw
Ow0gc8wM0jWy1Wx60kJHNp+WwAMBSzqBa0/dPS4M8mDhv+As0a5t3rsHRsxlOepkurBA9W5AxV3T
YdQe2kj31mOM/9Aq4JGQSrujybQQ3tu1MQ2MLouthcJmlFjajxApfMxbmCSlYZ/nxj1igHNOi+z+
ZrwqETUvnizOyIRFfAg8OMXX9bEufOYpHnEY9htkcQktOXYwnxuBX8S6wWS8n298rQ9uj1WE2fiZ
Ad/zuJrBvrfVo1I8th0lAc2n0k6WMKDL5p9Zbf2dR07qoev1qzF1TMjvwHJ6iAt32vpwwu6nIkez
P0ZbfbfpfbqSaPK5YJ531gZ0xNr/pMrzvwv+Yk5aEwZ4JXcZZ/aZ+EsWAZwMsC85p5n3hd0Nw2vm
YZcu/Yl2Jj0zZuEtSqBSJk0aDmYVRPqs7xt78ehRrLDwyU0HI3j/qtOHxwVUy3ZlHkMd1KgTIECe
S/c7J6jIu+gbr2SYiOCgkDg6DjMYE5vFtsrHlDR+1PtMFNZZ3yX6Qq6RUdYIThumlxt1Eq98a8JO
heyPMzzHbpaAMdxaQYM9UgMkjbW05RJb2ariZ1ewHwZ8LAajwTo+UpiiSjgzdSUKb8Plw86e8ZgY
AXa3Di6C1xsnv84CdnwWNy9v0DVBSUGSHp5dGdq6l1/rcaXUrP3qSXgeK4OGJdQN8LDzimHcXL30
oFaSfasN0DAfKSTybC4u3GinUlo1LwLtK2cPnLqRcLkKQBvPMulPejpbG4ijc8RmDuuUZciuBHbG
J7dwzgbFz4aNB8uru7r6xSn1fy4u/WOyukVsl9qnQ5tyhfBpkmye6SO65Wg7HUfUfeseGrIJSo7p
DSt52vTIGLsmvSsTBoXI3bpMposv2+liBy2x+fFQ7JsEMFXftpissl1WE1tlpj8eO2/YSs9Ojmrh
yCG04Ucei1ijxRBJODSV2JkBtXmAqLUBNFZedXawVKN1ZmLfHmeCQMFYTmfwZ+l5WMtTkQaPmqtP
Z8/oH1ss7odSGtQHKQm0PNvRDHDlUINmFTCrztd5W2T30EwD9TiLXMtgYkbAUpHzYIhPRRTuYCSZ
Hls6U/geO1WUAhKOdJyt0OvX42BTGSW1d8LJN1HS2OIg/qH7ZrhR249FZuWzdjFAxh17Is20nfg0
CINiUuqC34788oMAX0n5i5Veik+s2992aZVntSxIUmYJasiYb00JFHie82RntQOzb1FcjFQQYUq5
vZdF0oeAPM76stv2CwN4pofLUXf1U4WDmtR/IegcVXCyLJJEmllPFB0cQ3CZgtAcG/aDmWPB7igO
2D4XV2jW+kV42jbFS4i107jUd59wIr1uxxIVImz2myYY6JRtvg/M+ZjJsTwlQ/85sEhrp9jLVzN+
uWgBywcWkxhW/zqbixFxLLehJ8XZUerLaafYsyCnlY3JvrqEtB3dIDzhWsdL39zW7g9VKHLugvEr
c3GhFg7PARylYXBx6zfzBzZq2uG2eG6n6smQK3ebWTBhZHwSCOIAecbVYNPZLOljPXCTtsbsnBAL
NhMp8q9Zt39H13G3XcseJTC+43RlRzbq5TyyiXb8tDz3wCSM1Yx8eODetnbPYNz0+Xlnj+Bqn/5m
brkn7cNdBvjA7+momXF8No37AjXoOhQisiQI0gkHGnIt+3VER8ky9u2PK0gIV0b9gzAowEpuHbGA
3fS6M9aCKhQ5HFX8lSzuQ9sw2Kk1MtkOi4CLNmcpHZsOeELKiroBa1rZ4wMxmH3pw3Tth+A1C/xm
22JCngUpFnae0GF7wAN89k7MTcuzY2a3FofqRAiHlYHWz+rYD0A5PycieqkF8LuxHudh3jQdNPkS
80WweC/3vTyBp54slh6WZv4HevV31zFTZLIFd9HAFzD0fwz7EiTjA6A7tvkF/L99M/9ZrZrtygDP
MfprHdpVL89JN/HZMK3fDO3AAkV2o8zugeTth78UwaYzPYHnJXkBugl6HGAkC6YBFg7WxnaXR9oZ
35nOvJ8HXU9qpteR0zFScko4aqK8p+s5lXCnY9ON2H1wttvEjQZDY3uwRkrAMl3klXn48Oc5/f+p
MVe852oEpt29+ExoVtyQjQ2Jx1jyI+EXGL/MN9vZYxqDK7q9k3GDdAg1R6N9rVeFI4YFGw33RcJy
xaJFhtCwxGa0BhUzoSg1XZ8NIDkJrLG+iexNdSvpzpEgeSNX3AkEMzda4NwZ8yw7AEFrBM9ePZQM
9RjG9sK+Ywb8Z++o5GFpbR43g0hY5TzClrj6joMTUEeVa1jJHUN8MFI2s2hu+mJ0Y8vsC97t5IOO
1x58iISoPzBb6VEB93zZjPjJjbDfx1FQKtmxUW243lLaumEn8ydIMWdb89hnusLyL93RBNM7Z48D
ixmnHLpAW7EE2fCGkj7YdACZ1a8gUuQNKUn39fvFSS/IFAVifH7TegtXRDZqUZKs7RZgxm+nI+7D
/Xgyi5aKzNMoUotvd8JTYDb6vSooDaQ+ZR+ofIjt7GlL13sb6p+cbMHOz1PCjrt0a7jz8FLN637N
hkdqyreRlybFYwqtwKFGZmnfns5OhP2ihihFlaIrLBp0VVgHHZ7T/6g7k93KkTRLv0oh98w2jmYE
qnKhO0/S1TxsCLnkznk0zk/fHz0KVZlRheh1AwkhPdwlXV2RRrP/nPOdizOM5K4gGbNV5S4Ue4hA
Pv45xAkVdOMbx78VFJ/u0wntexjtqzxP/YNrtfxcY35s5WONBnuc7YpACDhIDGMY5TYyxPFI/sCA
4m1bpMSgGVTMElHa90keqovoxrOdQJ/8CdD7wFiQrKDNLMD17yyKGG7cHFkRB+BVYlRyWkLQUSmf
a4MsiJIKLjCI6xEHUdtH3VGQYbki3l0HYxpWFbmcdVu0D0udT2uLbZzTdztfRjDZxjReI1oP8q0g
o1EyA91Iiwhxf3Dt9lGP85PDLG6NcevLtzHlmPVzr0ldUAXBNZo9jhpUrl+5m5knOeYb44n1rETR
CV9s2g6wAQv87nEdrmkWmlnhb6QwflE3YyyTgs9O5KeIyF9c1Nek7g+ynr98Oe1sHKOQxtJfospv
Q6I8NDEQLxcGOUj0srpTpxaB9iK98E4xU94Dgb5VdQM3Hv92FEMn6aAdbxpmRifzHUGXvf/Yw3ae
u+BCz8pGW8hAketQjshgDgCf157Hfi/T9s6AtvOctUmymwpkwjjlk5NoSYyCur5lvWGjgvsTsoII
7hILmiinjB2Y/2GF4egtV0N6tpj0EnzwjzPYwz3olLNviOaosjw+FCPDJ6f2LxJtN+DcxqlJiZPr
cvqQlfU4ZUIcGCN+1lGzmWC2b8LRwaeHq3lsh0sfZk9mGZDLc0fMAqVdnR1KVY+jUyeL+vadhAVH
TyQ36AWUTngoYY67S5ra4r5ZVDocdb1XrqOaE7pJ5dy5xtFmlRiDtM1vKeoGEKfLWLTz0wd+1K0I
lk0bmcVD3Qx3zImpewMe4Ppxcpf0D0J5wVHqnGuSUjekxcw9QVYvt8qm8b7Jyo03RfmLGVhfovFP
eRBWzy4OPVv5E3cp5pE6dclvxXbwxOZ0o+I7twjzDwFlZa0opTpUY74dkzRbns3imDXZvB+H8FrZ
Ij4mYWSe52k6zprfBeQZdxe7HPMm8qxnTL60uJZ3vu2dwsl8Y8rQ78OW0lR48Lx7PmeSfppZWnHE
LThK9vQdbWXkUZg54LdgPDSZ4y87EYdugcgGgsUTH9PZ1DQu5sQDOwvSoNHREYiICTkkg9DR0vHN
XWrVGznON4NowGNEKtzzgvE7NewcRLaQrpPevZ2cZj9CN/uYnfjgAf5pOjmTu5PTeWztPRC0LywS
4wv1Vvd1430xk5z2fpa9hshCq9CK02OizfuRxfpk+8av0Wk/i0aOl3HU5jac3UdO85iS6LO7HSPx
UzqcTlqrRN7qfRvrvlgSz2S+G7wKJ23m65j1gnicepoAGu8cr9qZdeTwMOnji5/LF6N3o9twuh0X
i41ZeXec/3jKJeWInyBLQE1X+4z6wF1bLQVsy/4YTA/tVQ31xLEwPJANDOxhv5/mrolPXVafurp3
roKrfSMLKTcKqr5DDfG5pxPojw8FZwC0cWO4sSRlYfinvhrM+a9ekrnrDPmbeK0LqZO0fYsFZkPj
RfZoxehwVXVq626Cp/eU5ml0jZcPTNutvJ7OHtfonhBXtOmCgOdEKvMnv0X8BVIUrxubbSOFETjE
g6K9pJrYbum123Fovq3US49NfOsaAbGqWv+MirYhdMOghlyOTaRqnTGc7RpaIpDrngpnUY1G+9g0
wJWLZh63cF3a27QNP2suedWHK9uxsWIDc+jK1KSgM3jWCa3qmsSAtrFBML3E1EYjEbUru0Ebr+CP
4kS8Q61OEdPnd2xtX+QsC+r0cKsIf9u7GisK+8u8Y3g/RO1WR5TogHLvyT13TbYRFreDmNcYvMyf
mGQWTeDEA35x/trTz7y35cmOQ0DzKd1WGRwKsvt2f/WThPYqQnFOJJpzFql7w9Ycq7rI24GUX/iE
+mrhHdtRcvIQGI1/nkLrdbmhGV2PL532sE0qvRv8Mry4Mq93tEh803+Ecyd491R4P/vEMjNUuY1v
VrAezCy+OCx4ObnoLjLU2fIFnj6R4bSH0BKpnIkGoAvfGs1NSlnKuSDkA9kgX40haXEv0ZdxJpen
zeRLFOiClM1qbtsTnilFARNm3EFUV7PElhtRaoMGVEFhagxm2pByuiIkgGkAkkWdPBu4MRmBZ19U
ND7SvcTvFN5f6yydNiQY2UY/045G03xQf/WVSg8mv0Y4jxRpO6a4KTwPFbNVR41qzx6767dgHNxV
rG33oNKjbezN4Z5mBPZU05qfCFdXIN2TZXjnjpMySaNPK/ql6/nRbJprxIy2MpcfvuADTZFbTJAO
cZbCLz88jV1bYep4XguGBl0eGgccl/DOcUzLDbu04OokGN6Amu7qnCFaHBNyENgB2smydoX3HUa4
m6L5tSTEslFCaxKegp5bXNtaEgOImJ9UnXsm2BBceW7mtY2OlOPjbqPsHFsFA5wnDVmNUWJyK2d3
LyUnh8iz1+zarnW4oKymBUbxSS3mum4Xp3yM9zica6zd9Bhh3aivamBCDYJgIK3I06+oNkEkF9rM
k1PxN8JMKAt23xCX2XIU7gbl+1cS4S/D/LGmyXPblQMbsJEfoqeQl7XcWpWutaZH+NOrSaexJqML
hDFzxDtZeJhuIjhUVgp8j6+1E2GEW4yFvzLp8kNRqEdacFzh/ngQm07wUtIZKghzYaBZ8bKp0gox
NOSLijTd6TrcNxV6TjAAPmnoa1i5I4CIzP/s6V3fj2b4pmdyR0PDRVvX8i03STcGo1jBePkqYxvP
53zKMlAUvewAIuH4S4xJoxYTUjXH4hEL0savu294Y0jvCq7EUgWoswFlmxwmxWu/ylBeGzN7QnPB
3ZR/1IMd42eECEEjEt4BDl9ZJPc94IYV7XEeW5Z1xgwLkF/8y9KI/NKDqUJsuCBQ2Cr9I6nYc8Hb
gr/rE7XzWmaFzn0LYX4VFEgsoUBxjnmKV5KTS8V61LQA4MYZp7rKbxgJMCGdvG+6GR7dcuLwyaF6
aihYHkwDs235OpgscZNMy5swij7ZJHYjf40QfBcahtyKCDvwaLF6kXBa9dOEwSJ7ma2p2Y5NvmOK
mG5dOvhg+y/HUquH9Fdzkmmt/K61iBBIvKEBCg3JPz7kU3Hr+NGZhpHqJuwhJyZ+v83j/qUHfmtW
vPMo7pR7JAefOZenP8JkHncWtAJczdWVpnM+ZYKGTJHGjlwlu9a2pb+v6wQmAmfrcJgJy5aUMEhI
k7Fx3xk/oy45m0BfgRYPVv6Le+ZMOB+gWQHRhf3H5a85nL+Jl2U2hWVx+P6Pv0nHI6bhMI5g3Gw5
JMHgkf8zgpbSWEmxTa12fWCPm4DKSpM1lusl/OIuX00+ygxmJVx7CwBLi/g8tPpa2N4bdIvvxam8
8kYs0EPjHCX7b2zsO6t6sqV1mfOsOhINvuCDiFdz+aOMhncelQ9p2kPHzst70bYbaChsErEy8GTx
K/WjN0+wOfX/A2Ns2v+T4coPqjxLQMW2LFP9CfQ7s2ZSnj2qHTvtjOIgcIdVSA5xohpBYQfAqPfW
N9rbKSsnaNZX9A9pAvRG6cIM6Lm2G/cSdnqPUoTiuYCQfVYwmzkYB7riviyQR+wA5RwmGyNGWpTm
6ge+iqwqAa8wtUoUxS0kbBvm+dTiFixB5ckuvWPWctM09WNGx+RqXGgk2kvvKWh5B6HzZmTD3WAY
y2XE+AQlkCxE8DLzJW8Qak9xTDRkGjDspVG99wNj6cMZmh1+abe+Y7dxdChHEsAVO9t96OeUbx7Z
R8P2MWZTh87qVTzigKXpOSTPaSToHi3/dbL37PbOMHUFppjQ55JFzlfxy+8bp3IBMYItOtqTeiW4
AG9oGzZdeXAg34K0WTeGd8ilN97IBP+CztrHrLUPGD0lg09yK6C0PDt61V57O1NZATjnV1EnX5Ug
QZhw+9q5NsiSTgcRIlTUxg4WGXwKjyvRSrK7zJ+22ks+2mqRYclQ1YvmOfTjHkHTv0FNZ/5hWc/S
BAiQPTn+GnYcWZoeYFdtEFIY+/shFq/w8XBQMgphXRNfI+1PG5V77G4s5xgJvqPNT5yY27++637D
rP901/mO8OH1M2eyURP/9a7LC+1wQTqwd1Vwk8/sKyqGnHBCBFMSXO6E/SivqPLvUjfBjpAqsTAe
6QpfNonIeqna/Z5lbq0byRR5yYAG0vjgCESuOfulzUYTKvNeyV6DQPEIbvjx3mvwbtBaQusHSKCc
4CsqMl+hJCNrLMiDMeOv3PpXIexpQyPUiRDFvBcNCgV57SUkVb54Scg35+FAIcSbHLunYImiVCCE
V0hEPCagbIJq4cdo9FEscLWgwiMuy3x5Yw++C1zbYd5q8ZOqHObQ5JkAU9iY/vU77P4vt7vvmrQh
KD6CGabh4J/XtbjoA1CKjb9r9FvUx69mdcyM9jR5iG1JxOjHNL0ek0t2gG0IWtfp1jSrIPabk2Dz
6LwPmkOw7Avsj7TN9z3ovSj88l2GOp2BwkntL0+x6gVNjzHauJdx/xXG3KHZp6thiJrhxW6cPbS6
Y6Xb1yLnyvVN+aqsYT94vDEEg4mIgQVwRYC7JTv/fnay6ScwIrM1U5QDr/YrqzC71clHXLA7UnFT
8Cz6+ddv1lI68WcsMqgcT7EwggslLv6vb1ZoRYZnevQGjVb5MdnJl4mtEFDty8eoly0FojFs8Oxj
GoJfyhmRsUECA5vd0M+MdOf2r3/9guT/wmn2fccSy2JtCt/80wuqEm4OZj7+TmIEQ7yJP1X2mNEg
j8tuXQ/DsRDG+9wD8JwjdaDZrKuaR+ok2GZZmPjwz3O65/aYbPsLyKmVREwBKvIynbVJR24BFK6P
OK+OzgLldCiHWQXKfaNCayUMqP2g+7/TnwkV9/sx619zVR7LdCBnx/Nu3Wnf5JKHCTXlT1YZgMqp
CfUvAToKp2FgDGsfoOJNb9EOcRnbhyGUzf2sg8uQA/D0DATygaJd47tQhLMgzr7O9Rhe8AkKczF+
h7R+d7m/tu1slxfZeVno7JrrrXfi93Dk7CdNGg6iiYcSvxnocx9D5T5G1fz2178HZ3ko/vM6JQXa
lovvEEwtvEj7T2UL+DJnCPCsUyWvcp1PFd0U4G1HxmOtTM9V+uDU2X0cx18QYA+TKH4kATv6jBIG
Z0jq1bjglRE9ihsywDeWwSkggQAbT1zgLMdxBx4a54I9KGzuyl3r1pmWJoONPXES6afn3mM7TeXF
V56R/jTq8n5kRLCGq7rB/6ZWXhze6eXmhNnEG1GpP9aR//Mv/Qf6H//On7/Kampi5PU//fEfT2XO
//59+Zz/+jf/+hn/uMRfrJPlr/Yv/9X/R9U07JEcbsr/aub4H9U0D58JzYbRZ/G3f0NQidtp2U7+
52f9UUwj1d8t8rm+w1OOdgXJovNHL43n/91RbAA9V5gO15XD2vyfxTS2+LtpMhBQPi4wsVDa/7uY
xv67YHvq+65tC2UK1/3b719C+LO8/nHJ/vF7++8//1vR5dcyLlr9H39zaJP907UNU43zDIsenVq2
VH8unChFBf6FBtNtONZ6A4ZfxfB0a9btkY6FSMX6Ke/gctj1tEkpTke6ceLbZHgEY5URxSRXYVV7
05ksTknNpx1b8zG3AiJ2oVNtuh7laFowBHjPjwGS7w31S/YmLP3H3IrDe6VcQghUn7vfXUh9lefX
3AsVXKmxjghNOP4PV7rBt2iqLebBOzZlyXlw4npvKzboSe8x8A0x9Ps8kpuosTbYHYyjnGF9JJNa
GxR6LFBKF2QmySmqCGMi4q598sLxUCsGbqQVd2x2qnU81/U2SMFu0x5YXMIWfncwWOVd3JEH8zLZ
rOES0ZQs5/JhgIeMjG88ESKeL+1Q/lA69Lco/PG2UJLW2G5u3o1bRkB+77gXBrHmwomdGMIUy5Ao
6e7kDBFOOIX1w/QJ9TR5vIH2N5KyYO6IlztYaysrcHqxURvCpL+jDTRY96pmuN/Lq2vYH0LxIG/L
webZbEVnEUB0LSxrYbHDQ6Tw7Tsx1YOHbr13sKEfy4nXr+r3PtLjh51TQ0E0mYl0d+hGRhYMCsq1
dt1uZVGBeHR6onrp4JzSWPxAVsVBVXnxld7J99BJ6jWmc1TicLQ5vpLpHcLgwHUO9dzGPYKdjCCE
1ERseKjeRD3frMpV8hqEQH3U0R0rxpioXjuvKadjUtY/Kocm25lhs6jRhvJxVaXONrMH/9OIPX7N
yNfgE+BQJQ2EgXkoLpPrq/VkDR+W0Vqn1NJnYFGborA5KvLcWfQwleRPkwFawcGQVhb3brOkW8gw
945xkt2biVF2N2QR28M7Y9n8xbgqx6lJd2lcH6doeItmKfets8kMyDcqy/ZqIJUu6iHaJpX3PhAY
OVZRRv0XUqwvpPucN/ZjTVfsuhvM9jAygLsrfAaK/O4QkdmKb72x7NazVmCnSBjucyXWqf5oPYCb
HM5tCII4amdeI5NhPjSze6iqZMacgBAWeeOVTMmE/NTDieNUnpx4RL0tai9e2SwE+4l0ScN2/JBP
1sqtjFeZx8NLDGUsVG51McIY5F0eXVrx3Ymldli7iJmOER9Lr16Ky9PPtLX8H3ghv2rJhFTmWXJD
mqhYoU97uPSJVZpaOg8aU9xD3gXP0FTFmaEmqXCbY2HUTwWyQ7aJQxk9RP28DOYiIlMfWeljJA67
9wEgwG2cHqppybiW08+k5YmqyS/GtvncAht8lqHCCjeCkLCsYVfBKd8r7V+dwNHnskLeVVTfxkwj
72w2kXcmQGT4eAiGjEyAqWXdfdzipQDqYejQ3PoiJ1QVtycHG8lpyty3NJzLUxbAATc782zByFqG
rhKLoDvcI35ZPJnpMMqML9o8y5XrgYXsulbCdUcDnluqaZKiL86Fro9uV6VXqwuS6+//p3Q7rGL0
je3v/xZZfX9rZVg5gHrj1YsI0C3teCe2QpuBJeBz7Bxz7UhGw1b77OEJWsUqM5FEyYbRjmkc6JYs
FgnhWzY+bMi0Awg+O49pFUyntoncVYCUe5u+4ifnNFw1+r70OX2HSDWmMyecsZpxrSDu2XE+AtUa
7XvmUFihqgd6MwgklB2YsAxLtV8RkovrzDuCFW0KC1Uxohh14Ano5s30xDr/bWvj0LR2tcXdDHGp
tyC8OeUSaaZs3AkCcxtklXn7+8MsZvO2VJG9NvG7EZgd8cERDulTyEmquW08oi7N7PDlRcbxn7aY
jZMOMLw8YVGPwCgEYjhErcRKmiNh0Xyf/kDy2Q1KjXe4vhxwpktoNN2klOWkGtJrlFW7nugVG36m
5EzgbqLIiDAQIW/oMmmPjTmXm2Uh42reNB4VR7PXtrtaOdOph+TAyBVmI62GnL093Dml33H/hJ3a
h3ih8hibzpCM5qORYBmPM3bN2tjWwi/3wUTXoRWeWAjA9LoyATw6AEsLEc3z4scYR6h+y/w9N/Bw
UhrZ3td8C7aMWCbU6N/2dUHE0wIgFc39u2rbF6gT8jBScU/5QhGsbY+NuIVDSXmFSy6j13uf8PO2
cHziZem8EVMo3rx40tuIiSrvVB7hKfQn9BI2tOOu7EeqHutH1XTWkwqaFoezicRiA2HwJiL1pS0v
IhDYmRVAwdynpyGOuO5hq16ziKOuDaixw135ZStiM/riNGG4CwYywwBezpzHXy0sG0dZFvhANWGS
2Anso1lb57rGuUs2Q54YlORHk7UOYQqa+/Khq5z2AjwlO7v+N6aCBMnYXLfaCw5qJt/FAPdXCaYQ
/6oEJIb5Iy5LfaipGsU4x1iFFGJw6APGvY52zlQ/YcfIl+ju2Ge3Rg1Nw8FZwRPY3QWdVTyOQY7p
KmmG75Avn9CJMZkqv8IhcO9zbgOjSeYz10++c/KIexK64y51NdczB0RYk/HaTwzjTJcTh10OKwr1
kcOtXa4ils9N64YZQW872ZbeYk0el2fs6BrHIBZwjKBCsM3R4HZa9Hfq4H94ug5WcRRiA7CC7yTv
xgsWLDjTTbaWvcVWJqlvvXbwNkXOcNKdVcajj2Cs7xDu7hgue5X+xJhMdAXowjnPcIsCIb8RhdOd
bR6QTDJfOsc3riUzikh1+pFY2KmreAE03UrkoaI7u9MSXuqyIzwu/0Gr0TzVpJeM3DoZmNaegziZ
TiHMwZuAePppwupQpq53jFJ9BD7RnCacl4zExqcq7cun7L63ENlcOr8ZQHk84TggNkPzAhju0NIP
4sivNE66XZS4eptWHAFZGz4WBuZqEOKHmqOfZgPTPYYcii0CC6pYd5mGLmrkOzHVIC8s4iwqz8JN
bNGI0HXYxJmY3wS0Vj0mbh4/Ng0j8WxcGCjQwPrp3SVEclLOgG039kvWKv3kF7HBeMkdXq0Ix35E
N1SRQlZuXO8QOaH7A/UFPdw16oOCY7MOGkwqYxC0G9OvXZo/H2U1gAKa6ruwtEDil5vCcl5h6KCr
d+Odh230EBmvUyHTrTKiQ8DBkIgMVhQbQhSqIj4qKOmRMSOi9wXjGQ50QFsq+kbBeTPUhdSkgDiD
FPtJbBTYT1++ppW3T3pDc+zHSjOpdJ+1A5G6OT16sf5pj96DiubhTcsvIsiLxl8tk+xR7NNAtxdD
L0a9tv+APvTJA0WvSK7WN7oZgaeELffHwHgRnmTT+g1Ls/6ofGL7sz++4sagKyIY2bdNAOVnB5MK
JLXIiw++BOlulzi6w2Y08GFOe2f6KRcKze+vmvsQVEIz/GYPW61LMgeytZ8wPq9ykzy6XVKaU/R8
cFU4bVt7eB5H17kS6/62oAbsMlkYZ78UwZmG9LJsZpqdOTfTHoDJ1EbFpFeg3QQeYY28wUI9QKEr
J+DKsHSbLSMUHiua8jSu0u6OZ/tz38f5Lp7FFUCkexxQXfXo2AfJPHc9zQ8CyNkt2xY4uIkfr5lw
EelDVGMA7FFULWIcI5i9KGb61NZ7ZEK5N/ty7YYGbMe5aDatdKkzJkF1EGl2X0X8pGPLHrnJfIss
Qwz1g0Gkuez58NZhoCC7tOOhYLlpfxQZ1StsPjJO/YzYGhX5l7z5mbv1eCR3Qs4jMo6j2TxloJlv
ajUU66bx6ksTxy9lKLjqaiTEpvSaUyKjM9xV/2ZM+37LCDS4ZH7ypLooYIX2BVy4Te/TIDVG7Tln
3gdfF2WEOgz3SKZmbWm/2BK4lIiRDZHJWGBS51ACUu1M0OWpmhv24lUGux9hkaOIfBYpmClmy6vB
7rYt/rQywKCq5so4Zooxd4c7mdhbeFeM8bg1xoK7VBnk3jpgFsRdxCaUs17BBBGyax4nRpD9HFan
vAgiKqZBjTMOn+8WrIgVD+PBmexLSpvUxTRmTH8cdHa51vOtkwnjIIOfcsrwGtjjU9jsoJbM+7wy
gXkAHyKuRGeFHzsPyXI4CK0+ewR6W60iG7OK7RglRrBo3uWlMa+b2KIHyKeugFEekp4/6ce3HFwh
HpAeasks7Iuc0n0w6zdSHs1lbvIPLBp0XjhmvnUDfZuWFu0MILlwQqsVDSniuSFJXycQ/QOzewQm
A66lGDM2VHSU1ehGSRIpFg0JDwMN8b4yWdPkMOlzp9gksSFGb+KySjhPH9rZYi1NsK94AoHdkqWx
RebiBUhA11Oc+bds09CTv4hdTA9d2KR4KcDRA5rmPbYMkx1g4l7qkA7Dbkw2qemJB4IGhyRPH4Oy
d17Qpo1NUE7pKSAF61ROTIwoZJnyXH1isNAAYvfjrWUY05FO54mbkNNkE0DZtM2kP3SdOz3VvXyO
sibf/G7DIpRs4K6n2YMbLD0V7vDZO5i3segb2O8G52LQtoNQ24TrcEmW2R4MGNAP0ynHXUuso013
zA7CTdIO1i6SrBFGZx5JULW7LO2QT41q62VQgv+4SqjzCWYDI61Hz8wMhXgu0q/KffCz4mrSb/oA
gIdTbjPBM+ic5gAMQ+w6TArrmZbVHUk2hqrBJ3givca0hEsx9lC3KBffsCbdppClCKbiAK2CHLiZ
QJI3MfRCFvzpNtYbAAjIWZNXvCZ0fiTs8/yp6o9+XUM6q/RaZRrjRzdcpp5CqVbH912RjRvCaE/a
MtOjkeeXyet+1V3ScrPim4YPtKD14rM2ku1cYJtoBQtPLDkFpqUGrlQkYNSQxVIYnwFQzCzWbEG4
avuheynrvj72PjYLPKZpg8tI6UepKy5+8VW1Rr4ReX+EsDXimbQPQ2I667rkihklefeu9J47Vbag
LsFlDRVtAm3ufXlQYLeeWoo+OObuetw5RZQAxvA71DgyGnO76s0eYXovgASEw3eZ4DHAYo9xBlpk
57+a2nzGJNXvslBdDWdEkrGifWOb7imeHmqMZsc2sRnsONUzZejFNmvN91a5M8VKs4nPtePLWWRm
ak2+0rMpbaJRNMHwOxX+PVDXDlRhtA5nm/hQV6zEoNtVWgpFTklCflJx/+g5AU5r7JOxWcdvCWiq
YQzjQ2jBQM6LaTy7nhzPBdjQTZY8wxNgT251OScdpGFQk/tkBJzm+/AA697fJ+ywj/roZkxDOFNX
GwIBBd0QYGH9SSFnSW9fWMOL32PdLMhsNixB9ex+YQIFc5CVj7n2FCw6Urz4dWmlw6oWh19ymj6B
2IuNcNi0eZIElUddR1BcMecyr8C3c3Vw/XtWY6x9UCs3pkemyyzwlqrJ6s+VoaGF2w+jlciLrUIa
F0yFzA+P9wCCA5JZ7a6hoLQsZjxfcfJYGDY4iwSMGukXbBiBmF60gY9nI33i1nUa39p1fbVwa8Se
86j9hRu4QlMAwZgacCSBChgr8v7G2SoX5yxbYxdteoO8Np6srmVHNc2aT+3OsTeJ7aizBYAa2lsQ
MfWqlwbpa5xdRe2n8AFZbAwEzy3E6YPTCaaYFqldO2rSG7cLl0M72RoPVkFPHLEnxjubglFlOH1r
2dX7wZ37jcXMfwP6lHLViUxaEEfRNVE8lhlL3oBNkXeB7zASKlhyVVs0p7imXyaQzA0Dy2VQSBNl
/omy3HHQT/V2nlwAhSgmIPQSo7MeSgvnuUuRPY5JDmFthKxtEyjcZi4CTJF2R4u36yGiWIChXXUX
MdJ5MjHELvGlDmFmG7RQa5yBOqyUAdcagzWMiw7T9KBoZ2aUctOW8ROFSfh2o5+9bGARWYXzCEpg
3pKLXU9ummy4OcZr8Tpm3vxoeaCgqEpoS/VYdfLXyCTjoCJytzkgKSqpwezlmJNaxMLtVPTWoSYF
IgoohuxT6LztbO9gLDg83yBRk2mQ1Zn5WFmQWXkggmmHBQGoYBrhu5LH9AGurvo0eTM0PVY6yYMd
C40u0/s5iHZsVkosypAQhBcBAnEhGkb93biIpkIudL9FR218coF9WKhVPzMhMcdvzo47kRZfJTaj
W5utXiiJVQUh3Dg5WfMqi+sts7T5EC8YiDzjt9thfmILd62ikYwBWQinpJJOGs/OZN7POdzbtB1p
/riJKmvfWKUHzj5oD4lrfUTgNubOTvYceu9biYvWHhwW18mD2Ra1TzUXeYf9GzUIfVvZ+aPbAemR
LAbtCBnSMEPcc65wNuRPTphDWFdsEtdNsuO5DgDP6x9FTruMNxUdewuvuqSzu2osdjhZlzP/AMdc
R3V47pVkp/Xi+HSAiCBmFoMJl0BUsDbm4TC31meTpPU2I3kwpeyK7VE3u3mueWlS7euB+iQVB59c
IvuQbQkLb7KDtmGuYukAOAfAdOMWtCMgbVwdwvOwllR7iGfU02G09iGtVKLRS8jG24whs99ELwkI
IXPcYOa1GxgroY8h/RE4iOTbUPFcZaC8qcqcwi1ZP2NpDNfgNDhfDjYPLAsQupz2AjrmyhfNSzXc
9r7Ot4Enf3XUo5ZzsrjiXYbEB2J9xN4gFW0oIPDQHGgc6ew22Y7mL4eMfeD0cu2VFgvETL1kl9LA
zDSDWgKiqcL5skGQ76OQc2CMPk6GbDupxtsYrglsPHebjV3wL8HQYz4EUtB5obgfqHiejKtju+Ne
5dFNVybvmhZksmjeB0H7Zheg4IAoQupzJIaivM6QOWFErZAT35ox/BGooN3WBj1dRk9Wo6+C91BV
FLe2Av+RpnY19eOTnRv1Dl/8U9pjoGZL8J1lKIGD7aLKxuo2nuPvmto/jmvBlubj7/SH57T3Kc9T
YS+Uccv/2YbmQyCYqzipeodkhJWPXNPIWjj1pbwrC0JNHS1JiEbrUMOgNzUdtUbOUUcPpJZMyqPi
NpMcvpi3Fc2FKu21dHp1U4fAMiuCsLQ/UWwdh0hF8HO2M/MxTVS4porRgcRiZNYWc3e2G4RbsjEC
SiRstU+H9sFxTkElof9PPcddxqmtDUppdJm+ZcX8JugGJROX76O630quMp47n4Nta+hqHgAZUgMz
+QG6g/37rlK/sLwQ7k7KI1tQoAuZ6W38p0WOhfNAkyA9dcL3L0NIhNVxt5PjDSSzsksZS5u+n/En
o7tDqpOGK8P9abkI2oXbDesWXHA8OJhpOz4kiE5h/FIDK2I2kJf70GDqVWZAkuJP0sLPk+lmJ1km
V6Ov8xUEAKydPWDgRF/0fIknrNwh5jiHWSquQQh95AHfOfW+4DC4ao8rrRzbCjwlbE/Rs+HQ3BBw
11uuil6mHTQNH7wv8Cpq7ICIQEfki4HQTBrm9bPZXTDH0miheP3hyP1g2e/E5PK19395O4/l2LE0
Sb9Lrwdl0GIxmxAIHSQjqDcwXgUNHADnQD39fLhTVZ1Z1pU9M4vZ0PJmZd0gg4gjfnf/HLhwvNip
LaIp+QAsiIPxni4BBQmWgSWt5PXOtXEMWvm415YcEgUz/Gwu+SHLZEWrrOAFJvavAMoXKPA9ahqH
i0awxdiwV5Wxqy3SOnO35MSs8lLhCt73xa3PcEgO5JkA79LQ0BdgvGKtrDAsZMe0C550j8yFLgBs
0qPAvZHYGv3LG74FnAp2BfC7B0rTlkwyAfbvKVPDs2dl07qMmJEkZb+PbI9vonM2FlTX2WkodC6r
VaA7FF8BlfNJNg6Wvxscg4O15EefeRIkGqSovadZ40IXKR7PAQBE1WYUUWHjzLIfJuPOZgAfo2hZ
te3l2yH/u6oeKHO40XoHOjL7EZRTwg0oC9OB2prUkd+cgOxTT7q/cuj7BWf9yVE5PvkdIDNzrtdw
Zol1+gslXzZhPmkvoP10Ff1QU/Xxm0we6D/0dKLmaSbPXi8BeRshds0Dxm68dGlFqJBWwN3ZIWRE
6cKjPwN4bPPmPkfAU2cvPRqpDSaPX9GYjA8UUNvsuvTl2Kb2CgnnORibiy14C2IRHEjtpJspc2Ma
pONP5JMb9sF9T1XNk6fn86buiMwURnYR9dhv5445YFE3Id0DGZCB4M7VmTvuNH232/alHYK3ZFi+
S5E+uxOdRTQkrEl3nsYYOLFpEhoc7cdaN3361rINtOZjETuMt3iDySazlHbRC2JOt+1lOXCwUBtO
dMOlHney4IjTCxK1XRuEnn81teAZ2RvnChV65Dim7kA/sACRGQ9QbMeO8vnphdjpUyusa6NhkDIM
GjmJUscdt2k7p6Kutq2b1hti39ZMgxSO9WQZvLhxSxajyi6JTkIAWh2s3AbnPlHHTrvUWlddnYWp
IU7ZxGfa8ac3ECfVJqO/h3LgmCSqDIyLCw1INk36RMaW6QiOz3g+pcSrd1S1/oSkM9AiLeh80hlw
uPaPyjUeoiqw9+WEiVn3zOKopMPdxqfCs21Ao41KbLTScz4S8aMycIfjzZq5KFtb5STtwfOK/tjq
zg+EnbfO7KwQjVi8gQHAP4OzJC05LIrMdjYpJwVasSPtpFTwLATnOahzPWtqpm+m2OEIZnTxcaYA
0pwBAHg293cLISBX9Oklfe7vtaecekBu9RikWs7dLW6qsBeOeQmYYWtu6q2lH12sNPG3iGnpJnIA
OtaM3RKcm5dW+QflMx8vfvQG6SNULPdyoY6x3DbEPi+gRsCmOOon74N4wICAhbjEEc6UjaifdJyt
X+POZDLCKKWzwHwn0YDDAe7cwVtoPd3yuJGU6siiEcMmy2+WAdjOCBBUwVu2UCsOMu5+ukZEY6z5
NRjMk+W8wewEZjO66L862iSMSnsgLYfVrZXv1BpAQH+lTypExN8axoobz1B9BgUQ8KaeVr5ZklmR
6gRNAft+ZxzhUHwDawF8k+V+1AyID/j5U29TD1QOzIxerUH/5sJaIFwNyMYaE4SYS6q5L1qLIt5C
sifYjJYEwftcaPEvt2kveoCKJgtOPQqJG58Vba+qWaE/sz11R7ppklNsuK8sDhY6M7JVUF3S2Xd3
E2fzTcVaDegsPhIG/xVYL5QY/bLHnOKOqFy+y4vBxyd3LoyR3gjmhTYMansWQMBktc2MDMAR6dE6
akP4A8v8Pd/qnc8eRRxQkrJJtGnr93f1FQQIZTM+5pC+KX72YOj3uGoveF/SUyMI/iV+56/oactx
vGnPgESafS+GW6v78VGZDYQBL7lQBl8fUkOckwGD6MDJHgtuaWKtbvbZTAlUMUCatH5NHgOwIrGN
u6+0bp9SaEWlaA12my1nRULLPXcB8U4YvlR38g+tEP1NRqi0WQfojeHgedbsD0NnJckQlTaKuweB
6TYjNVlOK4eLf2g5uVxjezU2Q2Si2TXNFQAcjIGamimC7N12QNoDDS3mZzOyP22MBScsAKDdl/NW
3RXddmIithF1fiztVCONe9QghvQ8X9SZzuZJWrF5wv+286ra21MdnTxpTE3yOIG/0ers84GBB1XP
ohs0riBApZROVaydzn41rGo4ZY2sKV2jHVnqGlxYPMrKmqClpfDOzaJ1wjzrpm0CGRz93E2ONfMQ
gWuztBP1WQDBX/kuGFGTeCEthaW99v1p3AA2YjUvA7VrnAq/TUR9zUIHTTWLpJy30ZfPLxMVVA1u
fghqDE8hjBlhIqnuakHaHIKGOJIwBrimDJDI38z9QcDaJgcO+LdehtpF4ez0Or9I0FvmNKhrFtTy
cSC5gDEB5bg2onvVw4/3PJhtQcAJpDDfnajmLpKPa8/M5NlBh5LC186MPT7hEOLyJywZdGd8LM1L
2b3PfFJ9JtQCHfpa6fm3KGfI6zh8RMuAyt+i/RQenNY6sDpuZ8nwDOFlL5W1bVr9BcD89znyJ25P
2as5kSL1F8YqM3lKLfRO7tiO+TyOdf5QxdP8JJlgr+zYFSd7nvALzxTJ1HPghf5MTp8we3zN7AD+
ppD7GVPhjsw4XB/DnDDgx8Mz7spz4g4/NIh9e12hehmjHRwzBwc/6iJ0esnxbUUZF16LiM1VcL6n
RI1ZsvTYTbQJYrnEFrEFIiPKalxDG4if2bDEE4Vim7kf4+dxDgcZ/NAWwlE8x+4udsmiz62JKDL5
Pfw0W3vDPfXQkTja20Cla6s2Q4tu+F3RtIT/kTsZ+Xs713OJWi9I8joCZxZjL8Nzyqk6C5p7RTMS
V0ku2rMsP3MQhKu+o8qparZNkUWHXGHfJ+5Fp6OhP5Z2EF+aaEEiiyCgGV6DL5nHLxrgR87m2ClV
bT2ZenOdeBxDF0FvbeqMuaakVmGqmPYI2zl1KVDzjFUSgMToHuhbVwnntyZotZPvRTR8Ke1GIMc4
j6o/2HpbHtLe7dB27DysDICBiGKvlI8RqhsKkrbkK3TDq1/b6okB8VV3RYFMBAs+mL/SDF0cQMRB
SJKZld0zw+64AUR2qXFiSd8yl2g6ieECDRlxh89xOJTjdDPcjDNwjBmOzphd78TGOkOQWw7vLeEp
e18zhgxUXhwIQNYrUDY2sZ1lr3FF7Z5zFx5FwGXj5ub6cwxufDfUn75yLiAtkJLti3LkIdDxmKFv
lntLEOEyA+RRovEk21ysRUny3tPH8wAYiotXTaWK02VhM9ZcFxuqNB1aRNcyntS2qFzeV6JmTget
TtO4yea8P3taS4iVGFlxSDyDa1/FuBdj9nkowODC7iQ5zRwFpEoGNIALr6u/jYRhz4WweF5sypQN
UZwgvBRXfyRlrJopf5A0tZD+zw58uqx1W2KBcBR2BWlOB9kWlDlQyQnGy35JlXXPKQOYq7n9lS+L
v99QVW8ND6qcynOS5D+KUS83gIRBBmn6to7BgGWZUKffX+jtudc2O0uHTYHdHEfjOym2+IiEAzp4
iA4czsGtlPNPy/H2elolH+Ay3whM+ee5Js7M0PhMwvXTg6f8LhfqhB2DzJ6RLmOIsWHiYS1hE3PX
noS2If3gmSG0AEE0i52aOURC+aDAXYn26nP5eyAdczKWXg3wwA9pRaWXcsVT4QIwkMBGkpGLZaLX
R5UwzhGmj2uhjh773j+75qAd4Oo9iJmhb0TC/dR3Ga1gpARNj49H2Ya5jxwMiSWCxyDpJhj1LNQk
T5KH0YZZHAHyGU3uWs3wm1zrBQIlwI2GpavRH5qieNEsSqdns3tu3BGkvuw7fHJvPnrVuqA9j3FI
XdG6xbkYh6X/VrJTbSxBDiegP8CEdrL2vrUN+c5oAutbzArKNYsICh51hQyETn7mXp22jvcqcDYx
WdwHQlD5w+9/qipTv5ogKTInvyJjD0hpvbe1JHDJXpDyA9hxnOKBMG5GU3NTqGFHjl2eEcPmTULZ
92oegESbAw2JSUY9Bpe8+ck64dfeZlB2Xn5/qVwsBMkYRuNgXdT8rolk/sAS2eyLMUpCZfgLm6MO
tirIvSezN41tYyCZ/P6jVWbq7EbJD+SarYGr47MfQQ03Gax2tjagDfSHrk23vRt4IciWsGL7JsoL
zUVHppbVnXqc56L167tXcHOLnPEZh2u1c42y32G4LB+ErH8Z0a5kgz7Xg5rDQsfMRwgkrK3SOiaR
V+5/zujNd3Cv+YV6g88+q4cdBh30BmcvWUrPHijuSxqx0Y90/eK4GlYWxVmFTgFkTAICJkL7QLFN
sUlU1d/Aej22bePujdUmsPQk5MVxJlWgqFzh5ccqweXh+dS44Seazgo9eVXYxOfSvmpCm4/jOiqM
/oiDNHrQcPwTS9lE/d32YEAnfsYTWEfy3GfUXjWi/UZPRAdnwdV2hZJjaHlHy2M7C7Qs2lruDAFx
Gg5Cb79Fsf5pl2TvIZsRaU/aGgWeGUgxiDBzPQ+TXOXtEplG+Izj9cjMhI1XvsVm2Z5rvyWvwIWV
+VscNoW5sE2YlTT6qwUEj4mG7h80ySDIaHFO5rFt4FwcN4lmoOUzBug7IDuWZHqVlN3nNMWou1hv
13kDiMZ2e+9UYo46uIV1oDE23WhgFDYjfNw56cxLp6lp9QZzVHfBpAshT2roaZ3Ayplw1WYib3ld
dm4GOMrsZ+TyGqa69ZRm4J7tU8fyeO6k3pB7Y7XuDSIYMngjRlScYwvqLsy10/zkWXAB2rG+ur6q
w3lQWUiIFR8iIK7HyTS+W5U/HiCkrR18JmfNlY/phGqe+0j/uDJRrRDDtoFNaw+Q3qMu3XsdeXVY
DWraCqW/xZE7HTwXH+FyUJn0ni82dqNu7Fdk5iSjJnjX9ZRlx94Pqk0s64OFqBMaFk1uiBdq6UMD
DiDgw3Uu+CEgjskGPiXEY4e5D3hhVhVVHiSzWuF79Z1GMHyM9bBPRy5D5uDAufmgT6DdVQ0dfD1X
87P855cY/s+WOQT9cPYHyV/zxiSgOrKkVqtS9hLE7slAXzimpvlGDarlcAiIW3rIB/4vnV1t8ynK
t33nhhjEvLBugmnLoGvn9hMJvQLeH+ws59AuD40eRdlrG4/vWA4PlUol5xevRF9OmeLB/W8ipwhb
GOhtY/hnYeWHnuztiv4lCqcQmk5JQx+8Xkz4M0gqhU3NiRbwhX9tFYG4vqDohnO8vUNPtKg/AQHN
nXIjY63maQOcjD7j3YZ64Pg11+yWVfoTbC3zjqk/1YsFo1facumhIwHjAShinaD+sUNIObZajxyQ
YtAmgjn7a295lryFWjHVBh0CyRwkYcA9myMV+dasn77HyTAeCT6Mx5aPxvH3H3//k2OOH4qkOGlz
/ovf/6ru45/V1GGLKt3hmFrto9t/xBifDjPoHcoJ2n2n9Ywb5iG05hrxNerSrUsMDSNVT7Wf4T05
tRdGXVY9FAtqyx3s8q5yqu5LOFOE4XYMjWfOjwYIYSYVhX6uq44AatO+iCCL9sQIljIpsgSt9+5F
6AEIl2DW++zopMO1xCu3ArpIADGiz51BJqtaxiA3IfXftNVzUfk+a3FbHDJVf8Ma0WBVNsQDFKUV
RVEkugbMHm2U8iRHBfYknYYwb/LNHRgXXFgBlYmjaUTbqoutjV/b9S1LcnHr2+aXF8dvGajV0HXG
kgNi6j1a4vtgLZGCjuMHawaHf/KJMzk9y1gOdA682KAT40pyimnxlmruBVJTcaIeipKM3gkAlasH
vxv0R9j5+mOKoHGeOmbIoFHqgGQGYTwwU6O5sDPS7+YCSm1m6912AKWoeL4w6w1L6Ia4yGK8Cfwd
jdcc6BwuucxCBGm72qFtGcSwnw4xZJ1CbeRycsvKJtrorXHx5Vi8gf7FglJKrGlWiLJrrc2qZL2N
XOfaOyyxUsxrhLrtgKcYt9rcHptJEzDm/EMcWfB9MQzf8qZ75u0DT9hY9glwvs8KhNM3nt90pyw/
Cl/PDmUEQyHQBEuAXkGvIuDHvXrdCV2eZ9lXrwLJrq8o07NN5J2ZkhumjibZUT+JH3vUelaRMTqh
8f9gzOJsZYAPPTZYYFVslFeqGufQLBm7NgTtaqBRvieoR/CDw+gnxVORmMYLhryjmaK1BUNB2RZJ
jWaan+u4/J6Vtk1/CJJV0MnXNCq/5iaC4yxT4pzAG9vcmm7MM+Q2qX7qvaJu0M9jOAogk9KJzmOD
cXLKgPLM7FktfBgW+NFlU4ge5Rh8a0j2PQXN97THv6LYpsKm0Z7a6TPpdBqHY7fZewFEGZzVXosA
HA0+DUdm0L8xOnM2SJgNlabqa3rUGmyMA3brAaX4wG+xWNWO/zm6SLEMX9ceJLCrG5jveGnWWXRv
0qHedpZy10WHmZ145Vn0BkYCXt/WwWK3NNodNDD5VGfrq7FsapLybofraano0ubr0IkZ7Vr7FBbR
fMcVzHubWHt0fFWEhiG0S2MUOXtTKilQycuN45bRU8YFYmXPBoezKu1DrUzEo40HojQoGsbMZW4a
xbNWcfrYw5ajVkF1z9SauE8OM+4DE2goXmnrrqlJ/OI2s2cES18injDdbaZrjG4w6ko94FotwzL3
u42l5cmNPtR4S+gq26EflMqe3xhbo7/bjOYAXFJPLqnapGnKWCdGcYm1sWW2hvrmT/gJMqEFOHIp
vAuIkHOL8txvuML2uoNLBsQOncsBGAPzw84NYBCz77xOln2RAaViGcrEw8AGFE9sQFDC5GHwOfbW
OF9BockNp/hfhevN9yQl82zazbDrqz7bZ6yvbIL8DWanmPBrFINOXLCmeJYHx/Gu6W8eKyrdJfGd
7GLXv4sjWUGVFv9MaDY5mlZ0j7l9rlk86rVPbSeBnumjmcz4Nlt2umvpYiBvzx/9abJ2Mecx6rAj
1Afe7RXWT/gapDNvyt/lbWE/0PEhRErW5NZ6fknJBX/wmEadvR52V60zl6BLkPJn2whW2TSTJR6R
qXFm4KxnwGxvjIjTNXsF89PS4LpN/rdm2IqP0Jy6E2NpErPKP41CGy/98iVxKGeMy/GZSwGjKNyp
O1OZyDbzgbiJcescT4EveGWHpvkjG7wdm1T+DMuyO1C0Ua65s4szSJBfAq3mXqLwRlV/H7TYv+FQ
7TR8CxaM251bNs09yfTp4g7VLXOC6mz14qsucaExvpIJ5gczRuAdAZsM1O66rnNOnCwC+omhNijF
9yxTzSnNttFozVsL0ALkAkxR9RD89GTG1CBugw0+Fkww1m0yDONEYdK8NcB86gPijRizYmOUzL/M
sblrWs+ltk3DTri/DL9lDld+JUT6111bjaHtib0krcjpoDIp5VjXBbXq3CrpSnA7xtllNm9swxiO
rAEz16Cg3GsJEb3Rui9L2iez33UzSPccRLiViPyTtZinD7v+ilP+D52WymcRJf029etghSuYbVVT
3q2nx5JZZX7y1TabWyqnGsZ6ZhDrW9EIhD6n4bBHdILCvaUWbtDjcAKWjN0NYkIlmnOdYKOhSyHf
zYFRYzLqiiOh+Ztm+ad+UqQiCjYlMJ4z1ygHIGWmvUWWv1iCO3RkJtD0FKCmGlQFvGdc+taTzgLG
m8WVmrI1Ez8CF4ovC2vRm7ZwZIr5Ey99/arrKJG+Gnd+W/qPrc7HVrN5umnys1+CYqRKzVUQXyAg
CSdxHh0bMIFel7fc/65VXnD3rZgYvDuMp99/LOeCyANFjSs3FUSBl8sgpw1xb90QQh/KqB1D/c2t
57bnAtbGyI+Jm1yatA2e88FVRwMxkj0ZbO2M8z0RpHWKEqpE1S+t4OhdOMa06nGkPaONfpBHtunx
SJ1zPA/fptHz12RJjnBajdvAlEoU8rHtgvgFmMzCxlnjUrCOfd7LrWo9wudz1p2bXnlXrNz9GueC
/ygZM66sRoSerLq7TzdGVMQaaQsO1TEaXRiTrEGubIEVF0hOMqfUxC9s8Z6bBByaoGvZROZvjPxj
xljTXoEw9btUHQqbCw3t5/JRTSdk312Teu01ZVX37HS4C4wyK9HjH8sNQi6LRZJZkoPnc2725oiv
y7QK8u7LPFGJwSaT4tjnTumwb5X3CL6sYwDjz6E9ewA0yGGAqDoZW0eM7bUblLriVXsvPTLtQ8qV
gImZk3kwE/C+XArHeKljJz3UMbbrjJlS26BAWky71KwbT6kfLc3ZVnbArTgjquEll/iEAJatqmH6
6hLPXJslTN4KBFOj090C29bal8Vc3OeeW07qNc8SpR7eRrxLoCmtOvgTjOG6m6O1R3ZsnDZWdpem
zkUff2kt6/wABjMNo4wybK+vMBjFqHg1VaZhrnwioo3rQESPIOqqh6Ku5a5LrRstITbDdvOb00jE
jiCuQqsr6HorOcV6TPWCXiMDlu3NKf8FF7i9eH09b6UoiQZHuTw1Md05MNI3yUyBqhW/QB/0wirS
b7pjphiQixc8WHgIceNiS61pWmmiZ79Qu27S7DAqi59QvEAQ+nKflw0yDgeVVTYuMkWepliC+56u
Q0KeNp4mJNN9pHqQumRq10SaId/O5jaaCjhwuWmex0/f0EaWAoqcO9X3W6mJh8oWAdBCW1+59GEE
sUu7YjW8WLyxD8VkZIfENz5FFMxr3ZVocGm2UXH2HkEvCgN+TTSDmYSGIgQSjMUPuDq1jco1fuUz
8SWHeokksF86zSLvTPcZ+p1c4yGmhdQa1Jlj/cbs+/ozGviVllyz5qaM99wpUlfV68o1Y8Jw3UqR
+LoMgaSPkbRCSAKAdJ2od4HvdUfsHV8YoqDcOtCYuYt/paVeXSS1wrxN+Z7Dpb+OqUz65rNQZ+UE
xq61oTxjMoV2ZQbriaTNa5GAciPOoX+OxvicGYsO2nFSy6pW7om80Vv9WJtqflFT+asuUh5Bhrs7
zLBY6J3gMYPAxu0Y652vqk3uOf6WzGyodzo5hBySXq67B5kujbsIL48+I76Mmuq9ypmy9nlJR8V4
cxGEVkZvvLAZI1XaJM16pfPblNq6GJmh96PSN9z7p71ZjmeS4FgL3HkfDwNJ3AIAMzdUsYkIEVMQ
NEE0Sca9NO18LWLn1VHtWTfYgnXAvJIZ1dJASF97z+dU1+JHt3Wa0CKeUk6YTHCLf4zSaDZ9VrBo
VFmwHl9su6x3VFmihyxTXBJGR67nJoXm/ky+gc95DL+I5sdoDTWZS1PZHE1N+PtKuvOZVC8dLxGf
0cCj121IBcVvXRVjUKvOs0uJJxPk18KLb0Xc519u/0vJxHyj6gq/VG6tXGNcpgg03nRWTu9zMC19
rWz2BJCubor5y9Ot8ejibicM/WkWZQugysYlobvxxcT8utIq1MQqywhtVDbDOy5pTxZSELfsMVsV
FIzsY4LgYVWqFD+wEuvUkvOaG7CMvPwSiXJJSj4HuET2tcWhotIZTlYS35WTIin63KdwPO5MeW+B
gT7SswtuvBkeTUsa12LKoeKaFYfvoISMSicWFV17R2XeyrETbLhl1x5sUV4yMLM/GEN9USv0MjQZ
k66qH+DCYocvXYjbmUcSTRK5dCkxYu+hj52LHE8fg0XH1XTKmuNoO1ndfRI0myQT81pkgnWe2dHG
RkQ0pX6Bf/ole+sVHG25AYMDUJMu5AfbEN+y1AyQulCPdK9lOEAm4zlPPeaReMThWdZhkBT91TZc
dXV7I+zLMrhgly6YKBt6z1THwFdL4Gp4jJbOur4yiLQ/tQOAfQ4W0ATZK/FE40oz/fk5Sxz/1mBo
tGC8m3osHprlGkiq9AP7lcfSzDmsnPBip0MVn21rQT7HgOTLhgqJ3uugjcHgtNPk7ff35Sb0JlaJ
jtE57ro9oTEqB2dzjx3a3UUp177Kr/DRaoTUV8HgUFaoWek6iGV8HAD5uJ4zvowyOLe6uTQafWm5
IC9Sd+/uElcXhPnx9es/miVOK2cXNv0I9jyy1akShrELzNbYDzq7WR+AA7bVYzym2eX3FyLq0WZU
Xnc3T3VjtOwUUbFTrcZnv4rkUz2Z2oa8TvnQpmRpBmNKDkELtWHu7ctEyQuZMku75n71Xe/FdNI9
ujyCnqanrDx6Ns/DyFxz2+e8Sp7WeGBBmfXSNy9lANyzb9MzeRXjweVBukxWcNejkyJJcCz54b2l
nTCq/aPWjuZTzynPLAK+b8/HS4U93iO9uRkLgwoNqZlrBD2iKwPQaw0bId1sMyqN7XSbfKjcjTM1
TPb9EoRZOYeG61Isl4udcAeqKmwNlRJRyEE1vhB6D7uYk34j7tqYlrcaizjk+zOSXr2tg5KSDo/q
D8brWw/6+BpMAQ0rGR9XEo6L3l5wibNp/QBcazoGNTX0SflOg4tpli8QOhTTDq7TuQzG/Wj2rAf4
JiN5HatKfdR5zZpR5Y/JONWhoQXdK//CsSvYGkX13nK62Y5M8ZlDq2SvtTYK1SKB9DnhT6Oo7aeO
qgvGbJTc1OmUhFoCH6puIzjEi+2hybXQxLm1N2XDwaShl8NIpjMEZjpMJv+xzJY2So+g0Zgtlwdw
EiELIs2tjcEpOFF7y25/iqZjeLfY4BKIjjS+p9O+l3uOMyRG6mnvw8s7x81j5Ap7Z3HC3STgEcyo
ik9LwM3V0/zU92/2WGRnXwTf6JGPL4TjSKm6GieHabE16lREMoNPGHpNeLxLsZt5hJ8abH34XxJj
D8wUAj/B/99fpokZW4Uafqhlq4cMNjmPZH5zxFMLV5m6912Zy03iV8z0Ef7XdvU415h7RU46yK/h
bURlXJ6yYn7W9AZxIarnjTBNckll8BRMhoWOhDNtajzvTtru+8D4czVoY/eUjSVfIE6QhByede/7
bJXU5NQ2hZmFfRSCw43nFoQVRWeHgWz9nSGjeEdQh/LKMnutLaBNMYqanjs0dxBfzSOVb/J6Ts6N
WwEULeTzVGswDAWu3By+/YfVwypw6GXEsDvcbJNPMe5X/H9b6NnxD9PtuGnqmcFCmvH3jZi8Mbu7
15oddAXC5ivK5ugOjjrYZXKHKmofUM4+VMsjXqeB/RrlrbPtOVeMbFNERRNxT1k8y8q4zhTrQu7F
KTGCgiNPaF11+2dgO+KeBNmbYzHIS3qsPwAWrOJqJOJbCbUji99a+AkLNIZaoBTuFrSC6pmEm8uz
SOdA6YsnrRHnyY4krWG0H3sAqfSg7NdTJnOEikynYZ1pFQtvv9FLAO1zXp3Ir9hbZ9b6sJsNSsKy
0tvJallqcQmRJuOoGUkl7rG5prXlW2BJh1XEIPBnZWDbfPHDVNW7777SJFeGWi2+NbD+Kfpz2VLZ
x4aW3lJDdEAW9XZfRidHJcHPrvJeUBrqHRYQYHVtoJ/S2X6MGwWCogge4FaT6NPdDxCDFQB4LyF/
ofUrrR/ck3IxcGXNg2tuyjiwmFrSx+aQrQ/T1krWuoN7HDUsO3jzRErQN5BrSgXsJsap0Q5fjatI
FhQaWafyK5tNeWYueXX8qD5XhOA6csYbanrvGchnUknMYfv0yYpoHiymaB+bvOOo43weoZtmE91/
WeJycBcCNCPYTk7geP+jCe+NjdDRSTgrVW0RdOgTanm52eQ2LAtSEiWM6lmU8UM+NsSv21SBtLX7
UI+bJ1vo5jbjfMWPm3/ohYZCHNXPCbPgw9j1XGnjZos9cLrAfVlSK7j27LT29ybGxsmd12nZdFff
wwbN2VXuSeBSYfQqjL1YTvjSTx6gP9dYluxsZzU+NVq9c0qyaOaYEpPx1kgLoFPKVZM4b12qfY+4
fp+kt/Ut89hLnTGDoDI5UArEBepNEUfJMe4WOFiFoTXOzPowwbSAnMdks+Mz5OvUUAbOVLDvFBbL
uAKA0Y63OnOZotvtlUBvdeYbOkSYbAaq7MYRWbRnTk6V5lC/xqDtJuoWqgEpZR68VV0ivoFisKzV
PJXkT7nnCld8+q2W4mBP0h11cscgtohW0Fda2aQoGPi//MZs/X8jkv0JYwYy6+8vvAC+/vSH7W+q
15P62U63n50q5D9oW8t/+X/6P/6dDfY8iZ//8z++1wr8OX9bnNZ/woYZxl+ixg7Vj/Trj5ix3//9
/4aMBd7fbJ0ZnWMbnu3rthv8xz8oY+DHdMsOfJ/0hMU/Qoj8B2XM+xsUZsP2fN8HLgsk8p+UMfdv
nqvbIIM90+MoGgTm/xVl7E+IMc3kJWwXtti/YPMCc/FHFaO3lTRac8AHzPmWkCq7/n4U/sSm+yPE
zPs3f/3Cvvz+dSPbDOnM+B+ZpyEV4Avatl1VxMeuyBweab3tPnuQ8qB6jSGi4cGQXrL+61f8Myjy
P3+gf4HnBuTefC6e7rZseyN7MHFQTGTCl9e1CsdrD3/9Mguck+Xs71Dif76Mxy/zjz9YR8ItG+LK
5fYhlkUHW67ihgqU8q///n/zxnkLEu4Pb5wXNLrIgsndKkPYFzfQPP8mueHhTSO8OO40bwbIXlJ1
e/vrF/x3P9DyjfzhBYWvcxdZXrAvsJkd60TRP213Cq/LX7/AAsT8r96xfwFl+uk86BgvsXxjJ8og
kySQLFZ6kANLh8ADpoPV0CnG+1+/nPFnMOR//oaWB+SPP5BXdrnT0der4rhv1r7p7zhCMRWfAnrj
lHLHDD2HHNxKTR451lz3l/xJ7Jvl+a+/hX/3Ey9v9R++A4oMUJmdwdkOPkVDVlv/SvoJHxd0KpLI
/w0e+9/93lif/vgiNR/WAdHJ2dI16L3jbPC4GTPx/H/7Ef5lefhfnJ3Xbty8FoWfSIDEonI7Te41
iR3fEHHiqFCFpLqe/qz5rxweawTMXWAg4rBs1rW/VYR55jcUmzaAdrIPF2DJG4gmoNijHMdn1iK9
53RBi91lzRS1M3CFFRVe9lgvYX7q/yC8DbaJH5VbGJDilSrp8OrjI/2AlMN3CRfq0yUvNaA1YZhi
yJUiGk/BIEXMe+OZPIE2BTYH5xVwnPc/9xAZEzw1Fbm/990Et/9SyhJqJZBuxJkFWHMFeGhOVTfK
gXveFPgPyAWenWckLoGAcrqJFiYj35obkBTaucPIEUCBYLgbxzYFO85UTpsyhxDMGcb0AinKdKW4
hR7xrZkC2Yqs6CDHjmtcvZWHwWBDtcfBue7j0/VZWCN8a2qgrBYh3PCwoW870l5AIFu5e8AXgGpQ
WTuMK8GzVMyxfp/iX9c9Hv/HMoyRTj1/kzB5vdeqNQ8N3Ljvz6uJFf2DHEOIDXkUE9ws4OCtU3kN
5A8WCwm1x3hmh1izAMyAlIQOIozxpjtdOuXs3oPtZIrN6Uos9bcd+rCOd9FCyPIINDbXbj6yn/4M
BNbpzy91gxXgXR/UQej6ftzjhvHbKJFghJUVtOzMwx3o6TIWqsCtGO9gLz/B4RwPg00vs30xIf8G
4KYpm1faaKES3IpxiacsHY3HLtCGRgcN8wUXD62qg++0U0B0f7oeS8VYkY63edrgKQX3iDg23JJo
1ncNaHTgmfDivC0ht6Ib2ckDz7sEwcc8nD7hNjmoR9MYR15TPYNq1DppFDxiCwY0welaLfXOsbaf
AjGY0GSuy4MYBsJTEad8QrI0UD0OXYn0hZWeW5E+ZpP2W2KC2HMSiuMX6Xy+U1EHqXJTEqjA846Z
bKWwhdmYWzE/JfAnKQeMNV72CvKRrnMGEPTw2rSDVUrm3UneB6B8eq03/jzdgMdh/MXejVsTQDEm
UIXOg4hxCknB1IORTvO7ITBi3zuzqf1HmZMiwTwH5d4N0ocUeZ1YRPnj6eKX+s+aICbhY/srHQij
ofnepbji3w5+oHanv7609eDWBMH7dgRYQkcxdVEZZLoJPH+HCaRHMJmbuuRF4aGlvGBzWPG7ESe4
6pbgwJa/hpJwvhLgC3Vk1gwSAt6k6iFjMfKVIGbw5+hDjSNuHE9XcmGEMmv+KAz1YYKeBzGj2QBt
0QBvyrConhxcU8ZjKbqVc8tSNawJpPOMH+Z5wuLEnfM3XJY6DwKmdivT09LXrblDQ0wBimMQxbwY
XOgGgYAEQjAzuH0+3UwLsWV7zDSZniBuxWVqC4Ub8hODlpAfWlE2XQAIq0pkgPsq+Q0TVIiqTxe5
MOWyY10/TU5QmyCRmMB0z0feJlRRQYQku1km+gPXVYNaGV5LpViTxgzEIAzFcThIk0Lu/bYEEEIh
Xy/11JnbNmZNEr6I3CrXMElqQAmPyRHKUQCrejjdTEtdb80BvuemzogFIkZWJkSRLYx8BNJSzhxY
1hSAU1SNZFaEAgEqGfgP76XCi8tKDy/8dGqFtucrGLuBvhZngTM/Dn1F6K6Hsmdte770fSu2AUlt
FTUT3KkEkh4dl+oDzgPsvKahVkRTXH+qVuLrrSBsy0qsZgA9iJVxuTT5/uf69Gn4hxWZkR2FfgVz
aQflxAWFiK8sk1cWyWewBWNH+mAfjdDOBJenh9JCkNNjjHwqMncdA/lXg85W+U/XAUkUyE/4qQCo
ALocRCeQY6wUtRB21AruCq9K8+zhehe8jw8cb2V/YK2EuKIdAn+lCZe63wpt2kP4k0sxxFDnmqeo
rfM9Mh3lygnjOIi+WPptX422wuQHOe0QewzPKQjAN0fKm0GxHO/Z4rWpocaBAmVlsC11jRXlXlsW
IpwBmAXg3sEjI97jEjxtQzBZ7kRtwOUbi5WKLTWbFfJY8YWUHgVKus5xpW44ND9BOoKUc3qULXQ9
saKeC1gKO4CI7UPcXly1vs+gka+L66iS1cpqtVAFYgU+Lm7BvQBK8GC6ZGiehZfI5EYBOfhxXhWs
0Jde1usEdCTAoZAWXUDkHgR4dywEUqlOl7BUA2tB53hKYmEoeuQMp7igbeBxp5EKvvL1hU0POXbN
p0CnoGQQkYOnpioHbjQV3kyaCFC3/KpVYJ6dV4Vj1T4VIpFKBcszWC/+VwVGANrgvb9WhaUGsoMb
r29dmHr9PhoiGM8cv96c30DE+u3QWICmjK/rGSwJrqaHRPl3XSi7je+DTXReC1lBnTIeAhfj4g6H
kY+aViFSqMFNPu/jVhjLsSygFMXHgaAAlZSlSFQfgEI4/fWF+cizgnhsceMFZRN+OjEXLDLP45GM
0bAZkBT20gCvs9JGSwVZoYy0BoK3ULfb46UiHhr3DuC3Bz7m7ymFu11WrtwWLy23nhXSzWxaBXPD
bg/N9gFvtzehjC6cAtaIEkb2xt2nPXsskSuiBTuzalaMu4IbOqVOC5XJhP0DKHnQaW2aMfuF9Ifn
IBrP2yH+Zx32KRB1A6tWbNIhMveReeHncGTpDAlWarEwnXtWmAc0hx+HE0HuxeCpliCXcgMAC6CS
SJRZGWwLsX58avw8k8BZAiS/AFiOGbbFsHOcS1ls5zFFqut5o5n8WwDRkCKAwtfHXE7qKQIs/aBK
2PphPHsbF1zGW8jQyvh0YUu1saLeywQx9Vh2cSIg14+A0YFACol7p7++1B1W2HcAC0HOybsYCVxv
DcS/Y4NUjSp0Vppq4fuuHfjNBDnt5LRxljp3mHV/UpE8SlU+nv75CyuTa4V7lGVl4FUBRDLY8mzS
IXE3fZ0+9eDlRBIp06dLWaqEFeyVbOBjHXZdjOSvW20g0MVl1D204y/nfd+KbLxkD6rBHn1PDAAZ
jXjOJu+F8PL69OeXJiv3WK9PEX1MOgSb1AGCRsxuTEc8FSMnBKn+HixrkjrP4kDAQw9U2/p2zOZk
xyA1Wmm7pR46DutPZfcJ9DgSX44LbA/vpgkmT+UA/rszhcEB+P5u5YSwVI4V9B1S091CIEuJZfk9
HN+BmSCoqyJISdHR39MtuVSIFfgizHTQZ6aLh14pZLzP92UJRhqgXHAJyc5biV0r4KMKzhnKKeHU
5eUfyMHIrjDhBA+na7A0lK14Jy1pDYxwMZv0wx2oZvcQa12rbnw65/MQU/zb25CjQ+mfyi4GuLfe
kLqGA3f9VujwrJ/vR1a8s4GNQ0bx/dAZHmQFUAxQlx6cW0///K/714+sQK8HIRLQplosfc5jD6nh
pguR8QWaMB4hwC08Xcrxa/9/FPRt703kaKoAuEUHu0XA/ksgLPr6uwggIwM8C0lWK3uUr7vaj6yo
d2CqgpUDbSU7bOjEvCe0QcpIuj9di6/XJf+oqPkc2EwNEzi6nrMHVuLCDOSa8ZVeWPrhViiribd+
rXB4pTAUU019UWK7MEM2fd4Pt4I4K9ox7Tr8cFI/uwpPyNHHeR+2AheeEgYeoehXrw5/EQEMfhRc
nPdpK2w73ctxGvw2noAk+DZPLYnzjjYri/TCgAytqA0htMrdImpjT9zLlMV1W1yHwKoHrgtGPDlv
2IdW7CYE/AXFXGeP+fhx9kCnd/1fupmR1+fqjXKK8wZmaAUxRr0GbBh7Aj7DcgGvfVAb98GwMjv/
t8P/InrD49zxaUELmz5oGe+d/XgI4/EyfWVITEs3yRsygaZ72DbvYc1VPJrvot6t3bQtRER4/Pun
MtMEwAudTi3S2ZLb1s3eeALni9oR76eH19L3rVge8I44TZVoQIdRSCGl/k44+ROygqeVvl8qwApp
04E85hQoICz4Q6iqd8g2bkM/Om9Z+D/1HeOTC4lpszclfRiJfEdGwm0T8JXPL0x1oRXY3gA6Mh29
FqACyu78mjcXmo3+SvQtLDqhFdtQd/cgmXTOns7QDZdd9w7TzW1UOd+9jDbndYCtsxsjcJuRutvG
AXGHbOuCWdPueGiQKq503azt9hb62ZbbqaFkAq9joE0w9csZ+peB16/Ix13Z7i993grtHj6xxqdo
qopleBU5LslOge04aIPtSm8sFWGFt0n7ALf/I04U8Bg1c/AGS+hbJDN+Px1pC0MpOBb7KZKhfnfB
QwdEcdL01uSQEWcszOLTH1/67cdCP30cZjbQt3Y9DlvgaTLXXIZ+uC+GeUWHt/Tb7SAGbGhKaNnE
hMAjCa7bb0Bt6jMHKPn3t0+pl+PiqW2OKeHXaUGvIMi+1325EsILQRZYIUzwzAnFsGNiOQhYS/hX
Re5+q/Hzt1roeX+6/ZcKsSK55kMFA1wUoqOMbgF5RbpN8tOvyz9OJQ+ny/jvFuOL9ceWwXWwh5RH
aDAQO3VcIitiw49gTFbyPxTARt0LJNskKRgiR4x4msLs11XPzGl1DFL42iFlYaj51mI+OBQzLuvQ
XSm5b1r+5LDgWxPRH6drufR5K9DbgTap8usmFg7wGITDoFldunD9Of3542e+asNjB34KlF6E0s8L
ZuKhBQ6ZjEDLiOYxoUfj+DC7bbhZmU0WQsZWyCHnRCDbQzZxlCowlqc7QKfP2yX7VrDD9okU0K2Y
GOh33sHJws9vNWgwyNUmuCA83VBL/WCFPFx/xkrWHA01tQ8OJlnwhF8cJb+d/vxS81hBP0IICwSL
MJhR4KNTTm67hU6V7k5/fenHWzGfkBTp3pSYuGDey5DnT1Dv7+G/szJGl368Fe3pqJU0IE7FSNVn
IKrIOgJSHU/IcuX3H0fjF6PUFsOxNEnCLoSrwjw6j1lJvhVaPcBRE0lN3f6sJrLlcEUGcgFpUUQj
+lsdJrd1h2zwbO1hbaEHuBXGyDQWpe4nExsaIBE1xJ4/JO2jlwzZypq0VIIVySToQWLMMEA7ADbB
s/SuEw2vR2j+V05eSwUc//5pqihH4bRjk6IKLDFIWCL3InXvUxP9Oa8HjqPr0/dbw2DdGaEHMKGC
vABj7xT4ZEHOHENWAEcwWoODagLon8x+QG3+pI16Rjr/vYLpwekaLA1TK4jxyG9c7LlN7OItkMsC
x3Z9M4blzWDC/ekiljrBimRcu7bCH+AEA+evFz/xbyY8/RdSv573eSuSBVLbZaJyLKloq02kYZqQ
cKAwO9acN4/aqjR4umgHKYc6lhFyxsf50RD52DnR99MVOA6WL2YKW5XmujgcwklJx2FY+NkmzcHT
csa6fD79ee/YlV9934pj+Bnmc59P+PlafZ+D8sGEGlT+5p1qZ9i7sL/LAgLXEA3PzvzolYYbG/g+
6PzM+llR3ufcF3Bm1uAWAbjkNeyuH4CnOl27pcY7DrpPEdiBRFXzsdZxwucU3iAB1bX6CKNerqzU
SwUc//6pAAaD6Qiv5jqeFMDGsedp3QCeyPTaI85SAVaQT7LrwFUSKuY8gY+UHAOAsbooGMxKEy2E
uC1J80risgG4wDgXoK4T52b022arvfzONa46nO6HhSBnVpADXz+G4CWomErznWcTrH98II4ozvUr
1VgqwYrztoB2E/YzuNia5+qjn8fpypuJ/AVbtmpNibFQhi1SG8HIM8OIpqpTANlaHw4+gKmChnCW
3Man1sa7IPVw9FFXsalCdTE1bnMAgT1dWe0WRpItUutpTycFMDA6moMXWYvkAjmVau11funzVhxT
zLKcTOjiqBK6OQRdiNTbo1XB2ilyYaDakjS8jsq6Ur0CKgfMwQZXmsaE30Ho+wV0/Zn7SluMFsgS
OKjWYBix9jlLmkcY6r5EYROfjoOlRrKiGdSvgRZFomF3Eb1V9eBtUsbWnjKXPn6c4T/NRbqcgtA5
EhtanFPfHN8jl52Ed9R5P90KYVCj0zygvI7h+LrFjS4QsgXsBM/7uBW9ZgIVUxX4eFi37Sap+KWs
VkVsx6vuL1Y4W2WmsxHyzBDmX3k+Zc53uC97MD7PgeegT77bUXPtpMJ3t50IwumhCUSgLnVEfLX1
WMfh3qOJ9OSWRWKYYuT50GE3DFNufo2hD1xKhftuLJSyrcBeHUQCt3p4V+ewXAPV5gEWDnh5jSjx
+ze3lTJ7jkTN2wufI919B8qYOx2GMYJTpM9pA+ZSwBhApsx38nc38WX3p6iCFDd5stXlnY8rAmCL
szyYYJ3SVsN+UGaEwYrxIv4UwSpmguRXaHPwKjp1F7iGnZOLIepLmEYHyncvh0rk0WUd0Eg8deOY
eteuPtLyN6yjYXVed9qiu3JkAA90tI4dvH1vjlYnPAQt8/RYWZiFibVhgaJywvawUHHh58DLV/eR
l1yJIDtvw0iseQzIj3EsCH47B2C0iYqroI7iOYx25/36Y60+BSnvIfTxylzFBGY2G5gVg/ky5n+Q
wb6yiCw1z3F2+FSAcRMw9vEOiauVPIfFRgPAlfPm5+bbeRWwprAcGdCAB7uIJteNoDwGXALpgBlw
WG153lRDrIks9TO3q0BSiQM888ADMfRw+jPs6XQFjuPkq+nAmshMmfR9r3rMNXA7gqvVnF9jyzvv
9WjI5UQzfdN57spl1FJnWPOarrIWSUERGgtZ2xtgY+CiAqQP0J0rlVkowBbfucD3cxYChmJazZNd
NPH6kkAc/BP3I/LMfY8X/jukvArsUodizPpJycd9Cpj/h+rS8U/goEorgXEcn190i626a0s9CCdt
0S2s+Avt9BV3mvMye3zPimnVDabXU1DjpFz73ypVdq9yduo/JZsGuIbS+u9ZQ8uW1/Uc6PC+w+tq
oaM5BPQxg3M5dHDkBj7moOP1oONNmxHx8ut0gUuNdvz7p2AfVFV4Lnj1MeBYb13dDTGMEs5c8W2t
nQoGsIpAf8b1RWu2MJ+CkYkzuOdthf47j37+6S6S8XmGG68KlMwrAKLkdSsb98d5DWMFOQj5iRR1
jVkcmKSrtALYEYfcaSWsl5rdCusAXMO5bLAVlaIoLrsqzPGe3q5JEI+j8otIsHV1BKa9UXZc4MIy
vGKFusMm7g3Ypx9dCwuTs9rHFtd5xhu7EYfj2Jkq+gHbufljhsVEu7JGLzSQa63RnNAqh8UMTq1+
0MNiPaq8rSuGga/oPBZkbyCJ/DvwkQwthF+EVQzFVisfsmqawq0IKqJ2Q1M735IGoPow6MnBb7Ge
XIX+ZKar1OG8Pm8M2MI7E1DsHQEqwvW5TsOtU4JEvQGpVBWH87rIim3fpTMOI5i0BAXZ7wYosRCX
JMAMrj2HLnWStZLPbmeQik2qmFIvwzZkyAeGKx7WRyuDbGFxcsm/neQ3c2kqggKaJHuF5+BFOncv
SMj4fV4DWTFetOXURt1cxcpUMM5N6N+55Wu/falxrBBP9AynaAnnkt5lh4LIK0KalR3a1/HNbSFd
6cDbbgChJgaqvoTT5AAiHXn00+TWScj3c9qG22K6Ni1M4iGNDsyskAJ60A+Ag5hqJby/7lhua+mG
AEioCn0bZ1M93ySuN+7mNsq/gX9KVkb/UhFWgDc5q2oGWmuM/dpd0M/XAj5xabf2tvB193JbQJfA
zJL5pkb75A67oCLNLgoFX6zTrb/044+lfl7bpJ+FvaRlzOomiyc2m291zvqLNOiq8yBOYK38Wwac
f5H8X7klNskAmusovBAeeYbLxpkjyApeONYkiYgytBBLh5uwjdwd1iHycF4LWbEbDXLqBw+rf05T
JBFHnPH5EpY2bNoNhVMHf08Xs9TNVhQDmCRCHxbz8eDDtm8zVlE4bKXjRvV5PW3L60ona3QPmGRM
iu6pqL1d17pPYJLuT/9+79ge/78X4LawDniUNnQNKsDhaxQCO+hV/YNm8B5N662uYXoGr8OJir9u
DSOobO0+ZmEA2zq7Kg9DR0JLuW9m6l1Q2SYAAzrquUp5dV6A21o7ILS9ziVNEcNJSh28Jitg10l5
3GY8PLNzjrX7FIZqdkpXlFUR93Pxu9bFNXGg9p3EvHL5v9RKVph3E9hO3YQfjk1/mG6Ria7esoCb
+7mI6v6sRRSz9b+VABpJCBBxing2wTsc7S7rNH1W+bSyk1qIEFtex3oXT+lIKUVidC1yAPtp+i3o
2jUlw9eHbW7L6zLSVFUqjl1Ac4CnO6WvprR9zQcKfK90/I2oSrYyoo5Lw1exYgV7DZeTcTaoCna3
t3nmZiDHG6TseSBjAfSzdphcaDFbbnd0bJx4gy2/N7TetMs6aF/hIUx0s5LusDCsbKFdCHylwvYZ
9Uj9aedJyu4bRcx2BojgvF4PrP355Gd4aYAv0S7xkrG+yl0P1pIE7ugrVThiGb/qi+DYR59Cz2cU
nkx+h2GFLAeYNjba5aCSgP2IRBWPwzFwVHWzw/u7K+PciBB5VTks7V48juw3VcCCrQyY8xQkY4in
rgnKwCN8OnKKV1UTbzgMakg1PAby8TeFo9R1r3K4X2Zpj4y9Di7wsGrL0o1bZmz+lnpIVXo0Ip2n
+9SFIPYuVynsjWjppM0tramJtpSIul/ZmC51oDXv8NkH5B1p7ftE4Bmtj2R0MwA1fzEwN385vTAs
FWFNPamT037uexnDDfRHI9wdxt+jdKaV/lv6vDXp4DA7lY4/yJjODQwzCLvUc/sa6bXD08K0EFib
C+B4ymRuYFaTZVVBkD80mXYfTdBi7GCK4cxwyuzy8LKB4+V5agluqwQ9HXGfwUMEd9KOD49jWCYk
ujz4Ph7VW6RIrawJC5NQYE1CKa72PGqojLVKMrBCHUxAZLpSVXXwh2bt0Xahf2yhoOcmWSdNJ2O/
6LJnaNbZPczbxl9j7jkrl7BLRViXfq6IgoQoLffNSKW/m4qxDf82DDYDFxnsvcjKTLTQXjY3D1qJ
pOt90G+SDK8jh46PHlRuSBjIyjkk27BffcBauDPgNjMvSXFvI0whY7f8K8JXyKT37Uz/qhympAZW
e14Ic1UCa7i1C7SvH564rRB0RuXhSqKCJVPlXKReugOLB0bO7nbW7WaEXxMp9GGE1c1Zc4KtGgyo
kOFcBNEOYJwA7tdFA1PIMIIUwU/6wl0Z4EvjwpoaOL7tZ6C07Ma6UzdjnbGt7urqAW61a4mlCyus
b80OoKnpLJvwhBYEsO/zMy/ZZo67dnBa+rp19OgzXJjSzktjf6LhwWRTts2L5O/pPlj6uBX+rq9g
TBkUYuf12ZUr6IbV/krDL3zalgweiaUNsnfEbgZ1fWbYkXs6Pv2rF/rUlgoC+V1nDSizO5mRa9jp
XUT6weTnrYa2UBA6SjfAkBE7lQ/6CvmJ+WHMnKekyA/n/frj1PJpryF4AGYsdSKYagA2HFaq2VDH
5XvY+32cLmFp6uDHhvtUBAi8RnBgcOKqMh8k06/IT7wDUuER9qkH4fj3Y5/2G2TxfJRwTjtd6MLM
aAPzEj9IHPgAZHExkeLQ12K88jRmx4Ym3hYPMeHKRL8wS9msPGca8YRUmgykT3pt4LEoenEz0GHP
gUaHEOUG427eVN15pExug/LG3NVdQ+toh/soZzhUx8wVsCbDeXe63ZbixIpv+HK0umAwJRaTf5P0
/DBx/fO8T1vRPaXjmJQJNnaw3kEmfVdhKi/40+mPL/SDrSPskSEx10ktdqUKfogh2Dr9a9i8lbir
oBU8m6fuyOVfWSsWGslWFc6gVTV9qzLcXifurk2n7q8wVbSmu1uYUJh1vogg92aBhDVIyOqZbFov
1fB38P52vZidM6tghX3nV6IKNI2Qcz5vRvno1WvvnQuaSNw9/RvuzJ89gNqSNIbXLO2vS5mX9Ffg
jxCJQD9hrlJ4eRoIPEgN1O88utHj0Jpa7wMk5ra/0hmunHGLDbo5662B2/y70dEe6DDt8bhm2uRS
9lWZHfKgUM7KXLM0HKxFvcqy1g9hGLjrotnhV6GspvEAijqy1E8P7oUNv60yNK3sZthRdvsOHlt7
KfoHOP/eSWE+uDscOr2WwrkwadpCQ2wZOVW0RDkqT7HHcm9hf1LB8c6BO1ewIkxfKsSaBlTQs0bA
FmTfd4PcOKV3R+YMhhXeS+Q1K6vmQhm21pClHegsHZIBcjIfqmp+aJL+NfD5By5T3k/3yUKn23LD
Woah61LRwm0GxvKh44BoMzL3cN7XrSkgCSfpMocevb+CYVNLk9wVAW1/nP76wgRjI/EYrtqo5+t2
D6/tapP5Apq0NoLTcMjW0qCWmseaBDIzeDXeptu9APXgu8oMiF6+Owcre67jOeqL2ypbaTjzdNAt
HBv3ucEA7RrQ6V1+SzKY5Sl2ARuVlzRYSx5cqooV3kj/pjMNebPPIq88cLeq4Fy8yidciG0bf0cH
QudCts0eftZ77vE7RiG1jhr9t/OQr5ZPf073+VI51sLeDRrAuGBq9sIrnjI/eSiD9LpQ+p410/Mx
IWhlYVkqxwpvLjvfoRo9M3jevcETMp6hnorBkZugErspWxMHLfSKrUt0YN8DB3UKzhRymXYR8vm2
mOTXmGsLEWJr8GaknoisNw1ciMl7VrBHoC7+1ipZ2TUu/fhj433aEadlWta1Yt2eR/CZdQiDdn8W
9f50Vy/MfrYIr/AkNJc1jme16Lp0P5luAoe1K7PyMPmkMAdmFFlD3S/0t43AEz0VzMtRFRg2/Aa9
/xb3ha894QluH8JLGEh/P69Sx6b81GQqFUHb+ijHKXGppvlwN6qx28o0vAghpTuvECvUZY6JJZyJ
2Ydw7N20eY8FysDcNWzJQ1OKlSfspcFF/q1KBNZDW3Ju4IDX9YcyDckmc4LiJpm84bwoJFa0TyX1
/dkMZu/hLmCDBIXfM8tvyiS9H/z+Haa5a3S8pe63wn1OSzbXuOmCn2mhN9JRV6V0c2QJJfdBW/yt
dL9ygF8Y1LZWrwqmoA1CofaZhPmVYvCcy2eYexu/NxszuiuxsxCZtlpPMFYYL/dRTKvTbZFID+8g
ebc9Pb7+g7l9sW7ZOr3Om2bRmQQ3J9AUBxKvnRM9yKQetgAE3wwDssalM75wNl4infkuypg+AIBq
Np7mh5aP7nnjw9b0CYqiOqjG96lu/yKXIgPODlZz2rtVQAT6+rysfixf/w51PFngYWCKogNz+Aam
z7/rovp2ui0XtgA2L096xBOS6uAAV7lyy/QAo3d4kV6Ipuyu+znpfkAxTmJZivS8TZkt6YNVJa1n
UOwOsxgLvm08r62vfa+owpWJYWnwWRODasIOZxUVHcI03NeN3hTumRvK/57IP02fQNnpdiL4dE9I
PGctXISb3emOWPrV1hQAc5hMpIFGsxyRX2GC1KRSd8HKSF2YLG09H/A7SCKZarYbkS3AK3lTGfXg
+sFKRC78eFvK53IIxWhZsh34HIeRk3tWZY+n2+W/OeOLYP8/HR+oWamhFQMIPfwgxcD/gF3fXXVC
RE9107/SIf/ZKXPnm3mKx7TvLnTVyicJWNIett0urGjreuMVXb8tKHukkU82eQS769O/b2FGtVWA
sNrVedHVAZ5Wqvy10AXeBeejN63j6SsGoMjzeeVYc0AG918WDsI/lMppLpDWO1UfpEPmzkVSzkN6
22Lns3b5QAjc6b48GrjHnv400oMJnq19ruF12IxDNcIyPSuI2tcciVUN3Ce5h1GaaqTubVNDooBt
qJwnnCJcxQSBFrHVcNWoC+Wn5UF5SS7BY9WigXlrkfn6jdIB0kwc8mHuuZlMMpgBOSUZhc9pCr+q
u74Rg+dfjuA+aOgC+aCK7wzJRfW32qvMuOlh2eyAV+SCS0rz0tVq23uwqlSHaVZekOwm3Q+wrGNR
jYOGyGrYrQdhfkUl/N+hB1DfecCCTVHM5qepZ/YXdgXI8A5m7QTXIHSXYpPjqDtvomr06ivgyNIr
Nfju7VRFLVJRpwy24chDLZ0mrrhg2dsQesq5qqqcJfDErk12BQmWHw8Vg7Oym5p70kx4TZQZtPdz
mEqYVpQUxNo6mMoDbne7ZJuPQ3LgcF3fZCy7LNJofk2RCPBSeWYbjsmh8OFxGxp+DLGIbotsGMed
ELTc+rkbbkIYtRc+21MSZZcAX/VxWDXkAFnqTir+R5npJkWG0NYLxls66AOvkXIg+iGe+iLWJNI7
tzfeNguDbePmeJKciqfUJ1uj/5DmOq8HvanHZssAT4YH3DXIsHBFOEQ6jRtdXI3TE8g228rLkU1y
XdZYcUGkTuUm6wC0HGqsXB3Q3fKNzUUsidtsu6aDW+l7gjWnNPhfur1v5Pg+Or8bL/8DO4d36rwj
6et21uRuDNVGyWo7De6hLdBWAId10CSpt77/gxOlPz4N5NlM5go8pY0x2WVG0GLKbPzpewNL+nRu
bsL+x5Ckd2jzWySNXPKxfHejnmN2GDGMp2zDs/kB2StHE3lYHbYQbIxFnT1B5wvCl/DrizFCIvLo
9M2d17ZsG1JR36UkETEE2LTY+LI4uqdzOu0wNpHDnOTYleIS0rRThIZv1A5WntEdmtbdDFj1UAc8
z9Y1+00nctlU43Oed/7GDPyqNMWNmNg2yOldnxYHdwpvieh/mj75nqf9B/V5AWS22iFjUCIfd0BS
rpO+kCn51rXNA58x5LSmcDju1L4q0vd65r+8ynlhEXtv5ui2CLJtPQ3XnQvPY4d8H6gP9nM5bV03
dfeBTl9DAHOQEr2TpL0rMolxUfa/nSFvNnBe27NM70T3XIYJ9o+HRIH71HPktk/0ws2aHzLynmlG
d0yZAAao6onOANlG4y0nL54fHODlsB9zflORAA9JLPreD8Vt5BZPCSxJpny8KYJwz1UPlw29c0qJ
B4dL6kcHx4ONfVoqELabuwb4obQxuyR1L2s3vwDQYp914cXgjTFoJddJWsGp3rvWSXuPRKEEBsf1
vkuTSxgpbjOZ/US4beZC3CfJ9CLcZgcfve3s/ZRz8BAgL86Blzn0dNsJ6z2mwRSStwr/zqPoLgNa
zg17OKbfs7q+aGfYJEq1h47zoWucQ+eruwRDKlPVHqY/+wFGFV4T5TvTFfdJZi664iPwfxMqfyBN
Kq6yEMk52DVKfkVEs/UNeyFZihNtuqHlpYqyZxKSS1fB7SbBsQqmCDFhJt8hU/GGUPcg4Se00Rn6
NDRDcdMMPN10JHyfvPwQ9vUD7ZBxqHr6DlQ2LtnCd6LU3Xz00hj7q8SrbqYoOxgYFGxKtxqOM8Y3
GHHBrHa+SAR5LkcspemEJMT/UXRlzXHySvQPXaoEkgC9AjOeGc94X5K8qOIviViEWARI4tff48ek
YscekLr79FmgTUU7nwh1YCR7QjWCJ4zjtBgoH4/pSuQpq5EkKlJoNUbbI4xA73gp1mrD7Fz5dGsK
tcBfbo0Y+7l30rwiMk6MhVn8Lg/rmpi3tcW+qQCVBsn2Sc5eW+9FXmTOrK8mbkI11QMefzfrcmkg
Eg/yDw/zXBrYjaRI3RXr8Lr1IXpi8Qrf5GYawCFtoxjnuicW6vg677K7htH6k/WIE0FcuxgQWlB/
B4anHB/Oh3DIOi0gSoCPeNOyrIeifpRLkdNlfWPbZj56oeBxGzNcqdUOO7Wh2OqxP6SWNLrMGfXL
vWtCeJKwxkWArwSf6MKHVP/OsRT/kWdA2YZ5pg+MLdEt+Y4Ml06jhdomr8zR+nWODn0s0M7wPe7u
+ogvv2kENngWWPMTNr6JKkHYHn4Mpl6/Vf/IZN92c5WuycvQ9+ZcJ/iOVeI1MWeqpxWh6RIOp+e0
DZu4jr2Mu79pxO36Erc9e/VKgIeSIKqZFssYjb+tr/1vKRPzkXcLwTUxsrPH3vQGQ7/gDyOq/t+g
xy2uJjuKGzRtP7pefIcsIwTwsNiJ44htkVgrbXPoR8HFohcWD/yISG4zH1u9CNzla/LRJHn7c5f1
gGOjUTBfF2uH85LFzeu8c/KfUjCgQOJT7el168X0T/WWkgMiodafUIL5v4hSnyvpVFft2tDzHKXs
oWt88ociGn3Ec6TDScUkPDR4ir860JZgG7fMDxtyRP+TxC3saTda3FkUpqeepdMLPDvMa+in6cRW
MeMMsjQ35TKkwPikn8lJDj4/77WKi431+WeDb4VTms3oG5jd3y14F+0lT9LsPLVTUyEX59ccM2sO
nadN+jKIufn5HbGWFAS46H9LlKxHuwqbnBeLPIfHFU7DvtIbCvEU2IDzxYRBYQpMP6Z+sIcIKWbP
tePuR5/H/p1Zkr0NS9xfsAHgx8YYdzcudXOEA3dyEjwLD7gwt9/pFs0WURSuRYT1kp+Yws8UAvhr
34HIpRB59MwDRCUhbUHozfAp4v6IolCizG3vs49NWw1t4BtWQZmg173eel42y6D/+X3qn3hrA7zR
t/reOJf9yKjqy6iu4xI0S1o6Hhv8LxMqGCbAOkdaaEfhlvU3rbGbwX2XGyTj3LlpmueHJmexL3cz
4+oNXtPxBS4hPiqhnpu+Vr/lhBboHfMfsxDsUzeS1LcJYcUK8mJku30Z+FI3FUIQ4wzx3Srezp1v
En7wBg2OLPyOYJGThzI7HHaotKJi3/z4xMH/tUXsM29DmXI4hR1hk45ta90RpYpsrJ38p/Giuqgg
eteTgu9ktm7rIfQjIMmzZm5Z58OYwI2l1w4kLFHjgnhqYDnWl13aoYiJvC9NY2w/lwi6i+xWTmNU
rwVjPEnQ8Br60rRt8ktT9crhElQuaookBs5JviLXatsKTmWKu89l/Zv3iTJoAHOlprOSYOjuac3R
wMioiQ8ZD0tUErTY+p4aOo/VilvwxcxKNlfXdrwUfvfzsQ9+DCUihkn0Gw3PGm4EAfXJnch5lrQl
NEaGXfPMifXvuiI18dV1EQQYLraLuJjExTMDtQgWynu5Jb1o7hu9dtnzwBDaOxTjsKz26rYk3HDH
5OGYNG2sD67pI3GZVscjpMfvlLy4qXZwMsOH/XMElJijR0w2gqi1hb4jOKDdStVRB3Rf9+1v5b9H
OZclubhj/WSGooFn1l4Qk5hP0qG1qHwtkS3da7/zyjI0jD1BIw96pmnEg4BnXaiMHPl+a2fkbT1t
LfPrgQWEYh9yhAV6fOZe+UPX5yGrakfn7mQkPH6rMJjmL2Qoa3sa+7idPvFsArxjkCe5lrSpyVpK
HPitJJODkZoiFg1WDIYkeLQInuyw49xSeYTcN7MlpMsDvWfJkuuTgfAEsfSI72MPyHbMvrQ1uHzG
0NbDwYxp1BfbCBH90blt45fIOkBfnAwLq+BembcnOw/rVPGp9mnRJDE+w4TV+68IDmi6aJFKLw98
T5Z/ytFYIFmHp/q/faibTxwsPlQTnLUfc0vbHfCzs6aEpUyfFBtEYOa8LmtGytwJPZbI+MvqI7Te
Q7hBkWPzEl8asf+WjpmxhGgDk/fI5u0dOZi4uiVsir72kfl/S073z7mJ9VKuooURHx5Mbk4IeQpZ
mYU2ggNDl+wPkHyo4wLJrK3GLc/yY1uPuq72b3uDAu9GvN4JFa1pNfSdJPcUGmFeQLGGf6MQKtGc
I7gvzQcvxjBVq88RMoPv6LojRRwJqJAWBy++qGlu6R/OFww2HKvVX7JvHKaCjkZ/2nSi4W5M+y06
sQZpjSfEJfhn2aTdWGmdNN23pX5CiqxPcL2ptJV9laTNxB5j18mHeNiiC7he+39Cx7B8cJBIbzB+
ECVohujvYIifu4vKHUuO0xJLXsBHlf7AfaH6o0xSDf9inW8Pw7RkvwPaIlPUeJh15WPJ/prM6/1B
NeO0npAcn7zNCIrID03MENPlvF62B5SgXRZGDKmvQrwOaRmhzZCn2vYKpLZ4zZIyqC372ucu51Dq
11MGYb2wXZHjKSanmkZotBSk0du1Tdosvt9ohzfWa9aNx32OcTixP2TigS6SDEezqclXSkbJcIgp
aJrHaAwkx0CE740JYgB1ut1xpcNLTU6wZt66RBZYgYjwUHsy2xKCMbYfgk2XHdW01/YFru/bXnY7
2RSomSTpj1RRGVcZCF1ZkUXR/tl0VsgKtXQBo5/l8cf3W/kEYRK81tuoH+ML8LT093ermRRoyNlS
2IbI9YQrDuTluhbtWIq8G0HpZkmcFFAepV2xSx7Luy7MY3aXWQGWgHP44ArehvXL6t4u1eJg/Vkt
1sAXw9IeVPxUo+m6dG1tScVQftYqS+t5ueLo0uWiVogQQYgkCMfjqEo/stzXpmQYKDG5JkI+DUtN
6ov5NlstMgnmZGkNs//2eZUpcIxsvOWzjNF9eotXVqe1h0lthoVVSTIW4PiujPha6RJMwTDD9edO
KpMddpx3XbK2yZ6QCrp8BP8tDo/0aj5dNPLnLoAHVUdRuxRT7HgG+EQRYD8wSk/PpkGXhNEXWU24
a/JYvQHx0w2Ibt0O6gFV6d7csshEtggIpJ8l4KEl86aI9/H7HnCpbPauaKX+vqXdulH+gejMGTAK
MsO77qUlq40RID1+1841mhayHjmezfKbREvS+mJxbOrunbeq1oVH/rQ4wTUE4K6HG4d64CjM+kWo
1aU3h/7bPluNy/O8LbsTd2sPP+tqcokMV4r82idY2Sr7NoyjxKYlYHNPYSuDLu+/umF9er9vQ04e
gDvN8mhYlEyXSa1M55jV9eLawnmas/9soxr9GFMYBZw9WKnzbXDp0kBmj2BVjEsiFJObRXyOqbDL
I7dTZH4njc/1NdXUAtoyda/rP6Ob5+G6gjaiIQ8Iav+QUdwuz7rref0A7WpLz3AfSvVtnRMEbR+6
legUYpaIyr87goI8htp5W782JIA36EHzmLWXul3CeBrBHEpUAcXCRg52hFNMseHNSF4NmpALTXo6
nbEl35IbGRvkd5dzHHVo8aCXcNXUZ3BCQ8SK+wtcokfZRRLpMhY9hPIUxbtJ9H9d0g/umY05ol9V
3uj4lWM/Q/4RCCCSM48YQIBlxnH8Ujko3W2RdUPXfG3gqUfooOjUeVfaKWPzOY42sn/B/LpeznKs
l+TR7M7GdwhS9k/ZsJizxZplu2JGSOtfdBtS+UlmTpdP4gMo3Lh/oxUfuqNqB6A27iP8aos6jfeZ
FJMxUf+YZ8vu/0SIwKQg5cQGqtFKCtNwXWZOrel9I00Svro5G9VloTkUKkB4nRGFwrPqjkY3Kv/L
l1XGbxihpT9u6LW3JxJHefRGbJLLy9Trdr6Jhnd7lW01Mc8aZgwYIsFpRHhMYVNoTvJbu6OUugK+
sHqvBkd2z8vcChQ7XO4ROS/Skl5jO0vydChytHEb4BSkCGLooMBF2Ulxl5qTB8OaVWldR11lSD7K
L52ODkAH9aSfHsZ6qhNRIEvEj2CLpguuNdCqxviexw3bHmNDYC6/j3Uu3vyYwHEtj7t6eYvokOO1
y0gEQmaT1i3cjTndgZri+t/vRz0MkQe0x2eNXaLqWvwDzux8W5oZP8s3A7ZTtwmRzuMbOtNEjQVr
cYdeYLbXLqBomO+bQM0AQ9MSaZspPcxEJmOJwJO1+2w7EET6q1nlHASQFrx4HyMOGv2Y2zlQIHoE
1ZuWmaYD+YSNWNC0UkvGcSVm6aYhwSFkBKoZbXO/3XUep+EnJ7PbjknW6bhEK2f9JRrU0qIdUutV
oF92S0Fj02+XXLu8Gco+7bFUdqDiLRXN43g9RTbs/B7754y/EyrGlRSrlvH2Am/kdulLZ2FPc2XR
9B2+iDV7Gj47h1bblb3ULdbUNHTAhNEeMlBTFmzBHqcklfRWUyXcU5y0oQVbidtag+1D4fdmi82M
nToKdD/ZHURmakGLou3SHnlvmtagVsUNkI586A0fgGp3s7tuoxeqQEtNmwNp44ngF1sWcYDcbcWb
+A1iIBYhteOBe7GMJ810BHyVTotCkzTCzKP+xkU3i/muSNTQJM+N20d7vy0pYReYT6w7gAIzoYsw
neirRfKGXkBIpPMBsML8R+49zS9oUXvygPAnuxy7ffAt6jg8iy9y3OupUgk4ja+xTRT9Cj2P8hJt
WJScxmZs2HWMGh8hXSQk4ZwI3gEkaeJWPE50pYDalmjlB0qpquIppie4mi3dcccxgME9dttYPffx
WJ9Uw7ep5AmpU0jxbNfcBsKXDxAuMFfKFohH1dd2So8B+2p56JUbcNr7FXMlKFfMFVGb9vuzRDx4
fECad46VBRCM6bAGScUbpKmrPmc7qZs/y86AN3QMmtxC4oguPwmkJclxaLlcXroMQ8B7Fsfp/lrH
O4+PasPgfEYUGugYkGOMyDsxjPbo7NkCmj3xKcBU+FhEqPKzICW1W1g+ADrt6wN0bTSuakMaeUyZ
3q597r09Uzhf2VMDLWX/CKBrfhyaoLqD9jwWR6vg/XZEgYtsxTY4tSCYfM9JaS1a4bpwgxauyuac
bH/MOqbdARvhb1oK9igLRricz/8ARHXtEU3M4gsI3ai5lwsuv1NtMhffhjbKyYcfIpF9dLwTZzas
wEkBqqlDlimwWXygil0Vyogsu9k0WdX6gUMi5+e9BT6AlLMTlkORKWBb1JuHuUmxmdmGKMV9Pa8e
OCLujM/UwXT8I3e4HH/AABPDazFkeQ2fDUxPXTUGCs1lLTT7oRvU+IOEH9jLCpcR9BtCb+4ZHPNu
+CBZwz8wtGAG8fUCLFNIqpMHN/VK/kMWkJfvuVDb77mBscZh9cr1dyv2TN/8d2xX7hefpcCltzRX
V7mizb7vIKG2aBPkYN592gPnYEmvkvfUqTCyQnRBMl7ohkbr764O+XBq4rGTkKGT2p0YUP1/Kw0U
d168d1YWkO77GSsUMFTnAswa/biKer6t+FpXOE0DOByIJX9yJgV2r+Ep96LmHquWTa5nE5bsgSBd
7DmJV0efE5dgJZDwLQcWms68u0Abu0+AXTL614p6v8vDKq49yfmvFMPykW8+HFkN0A6+n4CFkxpQ
7SIsVgcxnMkmDqY+E85esTmA10qYu1sOhdYxxd9VS7rn1WgD5MlOI7Fyp2CwmXamd66nAihl7J8H
8At+roxmYB5EBl8I/tBDrYUGcLz2b0YGqCqgbf3LlK8vyYiV0yj3n9KH7YAoK+OKdBTyL13z5lfj
0+4YZdOCgcTtx6hukmtaA2YpdlTeW5cLumA31HN6hD3Sdh8xQs/GJDDhChND/B2ErqUSQv7G44x+
tVL0EigNMoidgbu0T3YQZuoxnv/x2iBhme+reSfr0j8OevZ3JEsxUtUD6/0xSuatRWFQY1KqfMDG
jSlEtILmzMJBZJxcwNHmZ5JszSlp6HhXp5OGxJH3P8Zpd8fGienQNvg2RQt1bwN0mNEWyyy/n6PQ
510JCJnA+VN1D73Vy1UkQ3tqzQqoBc5908ENdKoYOhdVxOuOGO6xxziwzjZ65GNHbgT6gSvgz/gQ
km+QbNnjV7b0zQFlJb/vkzgG4NVS8aftUwyufArkGMe9PCLLJX3N9qZ57MYUNpJJklU99V1WsMXt
lzmL/aHRWhwQnWfgv6k4LRdj0rYgE4Vv77AQget1Cx18EARlSNuw7V0YeijSNrw7X1YtEBQ2gOME
xrRCwCTxMKgEoKD0+QuGZP6jblUjKlwJWpciZfETj+o8L+JtzP5rIpjDYfW8YaoLWuti7nxeYJ4w
SHsSW111IA+9LmImG/QTyfA7olG4YX8gf4nW83O75+NTD5O89TDBNLHqpmWv5hbh9T6NyA0hbeZf
or53WQOesx8dqmaOxhljJ6fbGRh/AkaVAxSBrS2FxX0xrmoHJDXCvR1uRHp9QPFGqGOcJ+rUxkv2
xjRJ7mnfWOittQplFm95/B2QCRzSdBx0Vg1hIpSP3FUbMpquc51lv0IexptssUaruz67JFGIh0Ki
Sb9KkPwOAYZ1F7XDJRmOpdjBanjOld3QqNuWZPFPQPIYOuchU39yrdpSUBKqBVPHfZTH9inHxPKj
ZgPs7SN4PFCIcBqqQ5W28be4CWgfK3pY9V87BCFuRTAWrQujsMCPSFa/t9FAH8Ym76ZirtPtKrMs
nOvJbNgtoOQ/SxpHr4S6zB5zOWBzCpv+Cesc7ZYTsLdvsDUZ0MrYYb5Z9GGnpe/cw5bS4dm1vAEa
jC1pnMC8xo3NjS0g16+oBXc89hyUw2a/j/Yd3CWgvAnHW9jqBh3wQFtA+Do+tjlvt2JGVkrZh7G/
t/m8HjfrfygL3jABGINpYczPKeTZT/uufquweVDMavh3txO/ixy08Z3LtxJkhOWwYp93RwRbyxH1
9dpuGmvfPfpY8N8cOkwqBIlRXzua7s8B1KGygRAYekLZH2O+I3EVSpVizm16gmslVtuRRogwqcNw
N+lsPmqIYB/WzfUAVay8xNzTf16a6AHS2O9ed07dV3ALuaymJVjf5+Qgur2+m9ct+XZlWZ9C3m4P
aSYSYDo9y3VBhtZUKSdxgcmTVjbrh6vPhvRjarDfhjJnPgH+FieYiM5Pqdn9WUSiway292iGxPI6
1AiHndWGjdHe1OFvRsV6FOCnlyE3rjSYTstsRfIFpwKq81lFp2ibxoJkIkaJJTVAsDD8i4f1NUdO
PVT08XCsgda/KR3yYlJAdAtchBJLc6CpyaxeEhTaI0mwTS/2rI6bBwB4E1JWSDvUNwMzLP6E0j2P
R3iY/rCYiVWoYIdXL3ds7hv80tveQuBbdGvNFD2gk+LJ2QO6S39w0ob9TqUkrA+kYz764XUUhuPS
ptsUY9cqvXoZssXLG0V6EuZ7iGrVdt5w3y+6wk4wECTBDoCgqt2AYAngVLHM9QX03gbmzxlX3Z98
RHv5CwawWzjMPLe4+eok4BHlDZgLDbCJuzlbAWCgaUcC6BWDjG9u+Az65LBbxLMyUDIk7uBittkS
3+cePn/vjAJJugQfeXT402Z4cwqTqdvnNGKq/Yf0dOgQSWpmpG0t2Ezp/zA1aUuLOMzDhje8gX/p
tkxTvBa1gtHLO6gWOr2ToJPs5wQy/Oy+htdEi+JvLe1uMpN5+7aTwMa/Wb2q/i8T26CbIhY4Zf8M
22iPLt4hweUotjlNKr/shCLBIkFSiZvCOLTgD2ydPqW54PPJtO3YwaoQUGRbDg0u9aFENrTdTxsm
mf653qXzd4MgzoAXkNTyflb1WP+Ep+7M/nOgs44RwGk9yBdjG/DACmN0zjCC1S6LvoftLvuvxxbA
rye0UmEB1YjAqfuRMI8dGpBm4oeTRQTACBRPy/VXlPilu+Fd7abTjnCAAOb6iGUkB7oq/oiRwge3
Nwne5x65DaqknBvyMUW2x/4vxGGNYIow+O43MKwJxQDJRnCznzI4s58SNk3LOUYhH9+Fn5GOe9GE
YeC0eh3NGU8AYS5V3EaeDlAlDcP0BwZ2tr94iSazKSLMStMn1abPrnyIo/0DzqHxfEsGv+gDXgw8
1hJsUbz9ucAfTDUwjF5VC4cBd0mJb9n7MMe4mYpOcR3/JWKfm3ecxGF7hXjsO1VcyZTPlwSWHGAf
pIjxAiqdB5H9jDaUrl8wDmb9G3xVQozCOg92/cgJoGnwV4B5HqIMb/VTPMBp+JnTxo59gQZfBoAE
xCz6hpF2iu4H+FOFh10JHa6ZH/UEb7x8HRf7PbIi9YdqsqqPZJfGHowkncEFv0XJE8OCZsgK7Dxp
dg9rnTAeHYUX/bEeEDWL+3ns0vU2pXzgukCfu0doTLTsmnNrlzT8t23AddGfZ9bHb5FVw3qqmctA
Uca+Ld2PyJ9X8hSYyQCDYuG+x++wWhQGvBPOustQU79hJ7wu7l3kRPdjGYmUKHPurUO32HRBLBfZ
0IwWdOewDKkxeYzPWM+MAEOnvJcUWz6O5cQEYLFrTXKw0IZZ/qBX4oS74dGBdHe0NdzG2ZFnjfaf
UR9gPFLU8UKH9QgwagN+Mexp3P2qa6tb8Gg3hbPZBqnUI/pq6wKIJjRFj8M64H8ZKGKDCOlBzLvC
WeVAWDBygkwxjCC91GMLbypAT2v+qIUAqH4GjW7EsmCnbTbbSm1iJaHAsj1f24PL2Jq/wc2k74FK
zGztPsYITKYnYCnz9NzOrcz/AjQW2yvvGsrf6xgH5G0Maxe/5AQDPs5zDVOyLzi0S+/B0ewtIC4Y
ZPicVoSnS37vxs2ra1d3eXqN2d5Mz2Rc4Z+pB1+7g9ZWT1jLEyJJ2ZlxtfehyUN7yxLQT54lH53/
DOtYt9j/WoYV99rn2CjbBe4EPSfZ9rZriMPKbwI3v9Y128mfPP7Wq5wA1XcZFvwyzCB16Ag8rzxZ
x9NEG86OCYJ53ZewjrVYTQnJ7ifZbSB9jNRyt51BVVECl3BKuCwWJD/FgE6xlJ7LebTKl7PGAAwA
bwef7ALiBVtvAaFbRj0aSE26q+Xzmn9MM8CXgvk+DIdpXRZ3gEepMQfTBXIFH4K8tLoGSUbMIH5V
TRz5X320gG/kHdD3g3GYmGS0q1eKjTsCwkKPXbFoXiKFuwYIbJI4bHBMjGEQ3EFz/42RnBngsgDP
2JV1dw7v+VSsCwSMFyBhVN+HJAdss2wTHQCpymSp0uBALvTJGAEQ14pzlAiAY09zAm+dBwHYXzyN
PfCJrWQWgRHqEQNUNvdXOEumAdFhIwk7KREwlkbviVP+a9R4z9KyXsCze4iwZwCXZt/0UIEf5WQR
ZQ3mqeT7PdXlhpitaz7UO+YLjcEeQcMtAQUlRfRCSQR+R4wWJv2zaaHIM6BOVh81CF2fQsOI41Fh
/TxgvhWjq8DeMOD6zQGtIrKikgT7R5mAAlIMUAuPuCp5E+P+0t5lvwSvu/0daztgvzZABMaCcNub
iun4C8mZw5NQAj8TpprMPbR7ZvIThY6veQCrNOvKzeDHudspKvpd12YTv3Ypfp8CI7JNX2oTR6GQ
/W7JiaHCYD/WWMwzSjv3Y4yY1LdukvHnrDFslqq10VS0iVyTxxiDlb5Oc83M00Bo1t7BtWIGFaMH
V+FBiprKcrbNMP7pkEgCINnD2Os0TE0H9fU0YQbCrnnUd9miePoUeZBLSz5lDswm7JaGsRo4klrK
pec9rGXQwOMS7nj6ysaM/MSKv28Bz4ypLLTrVrjQRZABFatRcVPNfJKYMNI9vLJ8mIZyz+jelRKo
X1oEvKXkHITkn23GYPhWswiQZwRlQHTkuMzh2zrF2w+TWSBO9QiyUVakNtRdV9i+5cndOvjBvXbw
+VQFJk+Y3TPUzehYQyifPXOT19EdGlSc18a3cjvsDW2+9t378QBUW5KCw1yBnIxexv0/XFutLFOG
3/gwLzVQApj2xslBdQjlvsnB4u+jMPU/07DY7iA5zo0mPagRoB0TUCGxjQRXsbbrXhLsYsQBZcNn
FQI11n+pnBZ2w1PrMHi0bf2H6RgZHuAOqqlsU94lpZu3YEpcbxKASA/Ur8SAPbeXIPia/fNuSu7X
tM5QV0yDjQmo2CF9zjfchtXEXFJXOdYx2z33qVeVHQA3HYbQsHuGBCisVrthR3Wc7HfPTUk6gBeT
dFNearP3Dj8wEPxzFuvUFxnmKfuGwpO0VT2nmj2OM3hIpUZXhH13jy8gIMxY+rZbTFJln/ROnfgQ
ka9cD/YnagGNj0yDq1nCJHztDnRR4/3qwfuthiXyusTqRjyCQNdHhYv39u86ZkNfdPUYxNMOKuMf
xP9h7MlSC/vecuEDWLOkz5FEVIsMaQPDZglodEB8yAvtYVEAYJZP4NzGM0E4r3ZwfLuuSRoIlAm4
/g5sl9t3v77ErGoaYX+h4rTtEQgyA7EujZI/tUdgIyihzqbt3boAii9h8CX0/Yx0F5gdOUgbKqXW
KDn0zu0z0jPCfA93nW04xyoKX7NhaANCmDCLYQTf60fc8VpdhrhGaXNx0mcVWArtisYKC3q8L5nx
jxG4gnnZRx14csgX3m4CI1PaV3PdzvuvOuvYM9zP67+p8gDaiglCvr6MIeBafq/YlebfvpKI6fNI
XIM+dN3AWEMEkJrftk6Q9CIBvGNdtvdRObc228CEyWn6Cu0nVpADDbVBmOOU76P/GXnUpSISg7Sh
UGlj5dWPdho//AR9aI5umQp3iHugyR5DK7a+2HcvgLrbgqMYY2XPJBphU4BLvkKX6cg6TOJgPEvr
n5avATqsIR7iZoING65nYCsKhDeJqMdsi+JqpnW3hep/MMUXWF1n+R0Y8rpEidhBhk2y/3N2prtt
ZMuWfpWCf3eeznlo3LpAZ3LUQIkSLdH6kxBtMed5zqfvb9On+5ZULqtxgUIVXJLJHPaOHbFirRXw
VwJmd1dtdcg1xgQZU9ft20mSl1kY0bJuJGPJlBz49aQ68JGk8n6Yyhd5tNsVjZnuQU5M5xpct/82
+Kpznw6ykrjy3IPiJHKyDEpTWVWVOm0gAuX7OcUlt2/gvsuWIrux5BhebE+Aui1tDrhq0k0HQWVv
1q3hSQ1kmSjOaNsXZacxhaMU+G2hbwCjyidU6OVj32f9Igw667ois9HcFNYESC/gRzqMA1h4VD9B
r+qYIjQ0zBM0s43Wl/5XfQ6ClS0rOXRgfXJ7qha3rQ3QjkIPr2aLZEMJyuIplZ3qOZCS0a30QCnp
rxUTdF0NnLTQEi/tFckbbXA1ywhNr/GTGk70eDsjqnEpieeFD+B3r3fjeKhgc+L5GPmb/1HPdlr6
uZZuoLDpTEIO/EBzq7oyYHc6MZHl9zKXizb4V3If7b3wxCTxzoq8SZftKtig6ts4K/VJXqqmpy/V
NUm6q7sIMtfJovf8a/Xa3iDrW+rfS4+QhPH2J9fxT4KpDyIyI9X6kZ5IuvSDo2yzYsPrHh7f72/y
nwSM8gdhacF0D8ePLGulEBiXJoRTRoQWERxPhhu7IU25Z7iuytZWqm5Jmpe4ZY7WeMCysnAt6Mib
NoHyRQX1+TUJodmvHvwHARpzIpigPqEEdIZabVZpa+vhfcGJDu6qUnO5ANKzscEaHj/hvg2szoPS
EDoeTeCi++TJ/FpNpX/0pQ7GuR0jqbZW1JTMjo5Cc7y1fMjeJFD6BmapaW9//w5+/YL1j+7UddVM
ja5p5moG1LMesdGMs4WSQVPYJFFB+/T3X/NrZZz+0aaaJnvlZINqrGgoqDCFlHxZ0dn8b96EeIx/
UWmVtdE3OFIaq97KYCwoQAFB5lrlZ0MG/ukhfRCdtVVQZWXg418EJuGikNn6TrzDcPYzv7h/ejwf
ZGYt4k+ojqaxsvVqiQYUbjWy6k8W0z99+IdQ4o/0Vg2K/VUAUcC1654IGQLZ/vfe7IcIoSalBm+X
Z6POmelaLfBoMxePv//wXwvCdedDgDBrJRtQ/bNsQlDbH00eieTMnLBgpWuA9qXsEI2DWbVGufv9
V/7T0/qw/0M7ACxjLtQKwNh41qu62cUKLdfff7oiHvrfw4v+0aXaiifN7KdAX3WxX1nLRq6cwmMO
lpH8MLOczMiv7KCF/Fg26h2Nuzn+pjSz7C9MNdaC61CPy+Cgc1nRgm7kIAU/X+P//D7+r+CtuP95
Cc1//gd//l6UUx0FdHPf//E/D0XGP/8h/s7/+50Pv7J+K3av2Vvz8Zfe/R0+99/fu3htX9/9YZm3
UTvtu7d6enhrurS9fD5XKH7z//eHf7xdPuUwlW9/fnn9kUX5Atyijr63X/79o+2PP7+ApCt0XP7y
fsR3/PsXxE38+eV/5z9es9f8j9f8xx+76Htxeq3/2DYpf2x++Ulvr0375xdH+5dDKueYikYZqdDX
+PLH8Hb5ifov4HLNtHRmk1kGU5G+/JEXVEl/flG0f/F/VIdunK5bMqTjL380RSd+ZP7LMnTddGxL
gYPBbyhf/u9Teffe/us9/pF32T2inbb588vFmOO/Vphlm7JiyVyZwpXJhs2nvQuKDQIfk4ymXtup
9JQqwyY2shPNHOoPy2rcyK6A4bBMdmFmnUpz6UOBMkzlSnVmr/CfYjU7JFnnePAFVBeOhTdFqC96
Yz9j2g4lkhqN3ujGntQl4qxreDrhZ5tExI4Pt2BrjkwXyOKJGR+3v9bj9KckAbeQ+YBAkrO12vCU
mMaew0pzCQoUwlJ0Mqmk8E3qIZ+7iVnFn13H+1hweZRch645Kk+UgkqEp7+cL2qilPaAlwOtJPVR
q8eNNo+9h7+kRhdoW1AnhxV4TOHQn24MUbBSdVV2vUh17d4B7P7L4vz3q/7rq31/DP28HNPWZEU3
ZBPOm7Ct+8vlNHqk1mmWVlxOgB+HYh260NjRj/3ksL6kGR+fv2nDb6Dx5jiq9uG+IUw37TQxs1WP
kpNSfatgMHlpNcDm1c0tAuCFoxpbtac2D33U+pnDrYOueUgqf5SMzEF9vJgLGUWWdq8k5maO3bRR
mSAdGfswp7iuJwMu0nGOV00770xo+cmEKswGTc7TZJn5trTUnWkVOeYLWueGxj8rge4MkCBec01s
DMsoPpM0NlvFfjDyNoaIq/RejUWkJyowFwHcrinQBc9pd4QGolDql+5QUUmqqGrsAtFvHp3aocVy
TY2Wg9FuNdn6GsbxI4Ryk85zbCxkaV7VZX8Uy40xCRBx2nZPIw7l8wGutr1AiYxHY7S3fQMemqzu
g1yyXb3KKQ/Ea1KtrKH6vmnmZ5UhiN4MPun2GUuoSeybGPzOK9WCqYbkd7mEYVqTnJtMcRNrKhZd
eUzn4IAKnI+UkhtpNndGF58dKfPghKyJk6ffr7EPB5RYZIQBGZGLYuqyrtsfch5rpncZRFW5rmpn
XbSrpiRe0F+OWNg8ZHRCblSYO19Vec5hIFi+JeCdVHmh5R9+fzEX/7P3C1E3MJmxYN+ol4j6fsVn
CMrgLGD0Xk+MgPGBlBTkmp5myU+qJoHLDtKmcmrk3BPSMK1p0G1qW7+D0twHEBNb2wyWTSdLXmw0
1x1deW+Y8THS23Tbw9V0w0Z6S8OAboN5KoPyYGBnSLKtJhBChnWQjqeiYuSkZvIO8xGRtu28FBQk
Xt4ZdCV1Y4vss6HI16E5QOr95P7fG1GKl6GbUI9QGMmmY1offSvkztH7idmT6w7Gr2AOIU0jhmep
ddBgv7lBmJSe1jtIz4ermS3kBk21tGpjXZloSywj3gStA1n/MRNyniKTF83MWyzR7gFZbJOrIQmu
upQZwH5mbi+RvtPFSIsbq2HDGQqPo6mdw5Q8kHedBts+dLa1Rfe2s3TrkCS445v+J/FHeV+D/bxt
lXmcdIFgNeofB6u0Kl7DNZ2H9SDV+PfSInGxZ0oWTVmvVAjg6K1LjiJfYgYH+0zSU/WTS/h75Ect
oqt0rkxDkf82XqdTkYqie0zXft9grdAhv3Wi9jOzk/euMz/vk2DjQEngJonp75d3njJuQ6pS7rMd
sBhVi7vpqU/dMA3X/TQOazpMn6woxbh4wX3YUyaFmApsqlD3ffQ8KzIQtxCKBkTa9AzWdjYF22KA
TwJeDHkqoYniF/N32A1rsyGyB7nW8Av43ubOxgGbXlgZi1CKghNuEct09tdOQ8zLA/+Qwd5z5G5H
1QHTlY5WwancWITjALr5KL0iMwwXkNccL0l0xBbhBJfekDBtaI+TUq+K0ICVE/hwIDo2lp0+FlC1
f4Z1LbcPkilNK5xbdkBE53mYD8bEJUZDZy+Qme6n8ba22RdWslZprYdifwzkOUmMziJ1EIsoTG5J
4js5fSkSH8DXLzxIMxziU32kg70bkuqhQGYH9Ybvh+6Qw6A5SHZ0ph+eu1BzzpdTcQrpC0jl0SF3
N+2GoSYzbHB1FjQsRdsHmHEv/ci5H6JulWXGoi0fgnwyF8gsyb+cVOXQyDbynL2oavOEs3sDzwJh
hd/Gp2yOTkas7c2ela84nBC1caYFc8rkcHYL+a6ZrppaeRj8J1/j2ebxg1/GDh6bIUxxJ6eDB+Ez
5i8DWl3eSQCWJo3zCjeHc0/S0Kj6vitgQRj2ldLCX0964EzwFg0uNf0ehnNCoE5PlyvQ5+yGIYTA
XS/tQI2qFQu94fZpLFGSmNtLTJLa5Ea2tH1Y2q+tHa8cGgUe/kBHSck095aD7qjkDQYZtm96yoNp
+MPOr9ttEkVXz+XIs2ZkMmxJbCpdPWw2ic4aaMLyuTI7GrU44XtKnW97iyw1sF66h3zkQdZQ2Rfp
wOOS7cnLhxzWJDIgekClZ2wU2vjcFMvXxMx8m5Wl5o6+QgANDnLYLwZD3teRfdvmETQ5Kz3FjX/g
bD6JN2yl8XnSta1ZGtchKkFxiWnG48x4UkHbPmCc/+aHAcZucr5EWXRTlMZWjxvOHpujxRiNdR+R
AeicCxX6/2LYFmrzY7LMtaOQA7W+s0KEvhGraA6Ss+6jiqPHT5qUPEOc2zGJxvcCTRtQZHHiCkIl
6zhyB7VeidUAKzl3jcqMvDCQFnMjeX0SnhOLu9Si9EaeI+QFBplC+VS1ODdEYjdEArfuVTl1tdIH
2rKvql3gl88SI44A8zVhE8SDRctDT3NKzrP+hqobDNZfQ/o5dZ22vrzRISveMump6eD05s5doYz2
whn5DJgZIUQdY1Mg0/VK2d6KIJPBYiNDcK46m3QwS86plTtrFMb01nWuqAGqNYv0GM3BCmMx1UMW
R8DR/DtVtnZTO38zKu1RqUg4EAMtjFgPvVpKtnQUaZIxZ9Wn/ezaanxqRpa1YAXnLbY8iYgeU5+c
pUA61Na4FuP73MkKztlo7C/vu4UZxMAXy61kKVla47yXk3EhlCFpjcOKNq3GeAq80Q/OhcNn5yHZ
mAh0U8nHhsVNHtJYH8pVmIgUeM5OzCFE+pC/+rNMWgLRGsq1InuGw/8249nx+tjay61xbLAVZ0b1
ycoZyIPQAaavfTBB0v2cmh4/Tc/0rQON58Poa3taYmTgavGcB9odfQiW9Rify+LHLMMAIo3fIUiH
66sHZws/D1cx2sUlpkwDG28SficYqdEd0sPHGdqjz8Y0AsKMRez4uSSn9CQP1q6oA7QK0UmhTUUs
4JzljdUic/DzcdVC8zJqe2PItNKVzFyLCyxh3NCrDfkVPXy4xA2jNm5KJz9Ms/mkFNuDlA5LFBEL
avlmYfTiDIkJEkQvFWokqfn09bKpu4injOQeRnvGWqZl+ahE5RNaXRjwMiEOnhmh7Uc2JeHSlLl1
zLTJwSRpqQx+hPYB2oc82Fep327gaK4vD6Fu0qtUQpGEXOERVqlX0xCgWcO9x6a/0f3mKUjVdpv2
2WIKtdXcDyb8NZ7yPNutO/TKNSYzzspIw8cxGjHoGdETzMCCDq7QqpN4Uek8BjYvjX50hYfQnVgg
rWDDCx2eCMUNlI1Gab+l/lcDkwhPljguElPZF0MReH3rfJNhBLlqGC2nhI5TdptxSI+qscna7EWc
uL1/0OFagHHuZ44ZQkYCtZmLzGRjj0F8YShfcYnB6MZci9XRDfoeLsDOr2KWJduzNr5Lev/UMrvO
tXtuPo9hv4IsN26LIYVnmqyQQ620JMdjujEm9RrIAlEjlgbeWNFtiIc3Wdf2IgJFcjWv0Ba7SZ70
dMtH2ZN8cxEaSrI05/JoCD9CkcOlM2z1ZvQuV2klZ9UgapkJoY4pdwh2WPqqGZ8hUTBCFENxrF4X
VWm2i4x6yItM5i34qXIHjxxN1XY04KEbo7oos/YH1rA35QOs9Psucg42CivXsqwDHld7Eou1itUS
Ebq7xYKJVw5FlkvWGm1f4SypTME5zpujiNU52qVSyFmicgXDZisO4DLGViftbkLY+3nQqPA0B5TL
8d0gNQ9z1B0xrILufow6cxdH5k5kMZd0NeF0UfNgNfocB/VI9XSJu42063z1K2Z3MdxoogHCXrYg
nNu8wzRR2VcRsRc+RUc7x0QisRQpoFlYu9HigxLN2E8Ak36vLkQIE+W0CESWqe4vR5bIy8YWIKL1
t0lXXucj6RcC7rMUD8ggrF0jozPABIlMpaioiuldNjlnLZG6UOoj2sK31v96ObtNHqJRx2cogSdE
4wXdeGuvNFvHGX4w4nz6efZCWFc9VBmHYjKEAsXxMmcAHCISwoijB+13t7IBDREVlednHUtBNw+j
xCrX0/EGInmHobu+DxJYkV1tj65UzncxriKldcygkKeKda3AzmC03l3+s17HGVSZNrXaPvq4Yhlz
AUuqOUaYalDp8JhMUbpg6qS25VclK86dUx2V2aGXv8S2rFlgXJwudD/jevG34MTI6mOqPSamvMv8
7KYdwnMfFC/IEkN6iqC1GJi7meVpCVdNWhd2yrDsB0KQrD8xXYYSaeTC++YWpmfpOjIvFo+uicPH
8hh4cwW5F2AjmpVlpB8uaRdsTsoZSd9nthaQJb/5swqN0up//u1LOnj5utRkQTR5yjms7ZXaX6pj
VS2bodtgvcWKmHhzOuFSxa5lnAk1YalyrNkk27g3uOWyh0GIrondXjsR76NkL2c9h+IlP5yR2fR2
GbgazeaF2AZNXB+jnJMhCfMbifnsbNFdW2bfL8hKFYgznZ3TmpwmWqx/GxTEPBOfB3/JcYtG5nKR
Wg8ssQ6NigfBSFhQNe1SZLXsnrj3aayHRB6jGxvqbM+fmitT5BsqI5c9ekbJQuIXPKRg3zrWiEiL
E+OQ2OERXaXtGpnSLmXTfIs1BhuHXGsrtiWOQDdqGNxFFqnGBFU0DIyThnkiayE5XfYfe/yEbMet
yuRr3psHgdcU6AtUOdvBJlhYIgGeOD+HgNzXLL/aY0JCzNP0TfObqkVQD5r62GjaEvXeN0vnahJl
7wAgeaaEq4Ye/9DGGF2gU78oYEauDXMBH0GEqStGqAaY1GHRoYqDveptCgcs2ZvHVo4wQRuwOI+n
nW5Yq7iqkO2pKLhomd12epss5Fp/pV/3o1eyzOutMFgwNxplWhl81QexBA3aMKMWjotSTR1vnKV9
0g02b+JtVKyS6qilh1m/pZGOlRRjM6RUIRBWHNimavmeFFvyorbbo1FPGSe6XG0kqd/ivw7ZpNJv
nFi1llIbXCeFYnjJftRXWTdxgRhJrHGTiF2EctD+x+jMWIh1B707hH2OBV6ObfTobIOO+SJ6K68g
WxLc8XNxG78jNeqYZzVPZLojj6eIF8CcnReU7aMmM52wYe1Bw6MHbWjBjQxFcD0kyjN0NGg1OiId
EgXKl0LjX5YWLWKUxgSS4FbTZnkTMN5pSPRvzcj6UMIbqy/fiOcjYtilPEjdOpVJEyqmbrMUHnsY
6ssS1rmbK9MzxyjCz4S+M5CRF0XlMavD61rFX09O+wdZdqdYi91LrEO0RaZHqjvXu7LpDtqgrSy0
DS40Aagl4gMQ6Z0SzogK2QTrY5xJlHoydl/zbIMq01QgsGhy1K/RhazpAHhzDTerJOZhXkGpSv2R
ZTYjWnXZK6wyWSACSBbmHBaLPkVdIpLWDgdV5nnterTHXoBPH1IEXXKnNMb0J468es59+nTO/djA
/Zys296Rz22frRu564m52FQj8uaI6Gh4jvqMCXf91hfjXZvL23RWcUUExBTOzEueXrMKCvAKeSLj
Vy192xJoU44JrA5LEiMTWsSlW4d8/dhrRe8mcuOshu6qRFgBUUT3F6GNfDdvsa7ArIwvn/PO7f37
KDT8xWimB7w2DkpzFyl16A0qCk6aZHkBt0hjNote5vehxgfExZUkBTOWH34IX8z8XlrDMg6m75CW
MB2pR09SQpxDJK4oGKVvBf6MKKJSr4vi2yoYr1SsGljKVL5OKfeeqWSbONZhN4E5LLLipVTkx3jG
78OapEPWDtvYwESFKnHI1f1UmXvc/valQYIMo3PZBzjRyJAIh8SbSxPzATta8ISRPJH25E1/rQ7P
GbUkYe5WGuprs3Ne1Jsp4ZDttV2Bqb6idE+XjEhE7gn/ozhT70qTUwMLyxtcCWIwZqyApLvaanC5
KfqnpJNeFQlO7FymL3ErIOMWsLTTnGsuGn0Xo8LS+7iWb2Cbv4XPFGoHVch1SOQYyUghBgwYqM0r
pEwHHp7aL8aLhDRg/VRb26JmTeFmyrD85HlOWG3RuSPbZx+j+/CJ0iHJMFs3SDy258KIKvBGSbqF
yOovWt06Y17x2sjKgxHbLwMGnxDBdWQ96NaTpLsTtlNdEDOsRh+vsrZvd3kjLUscGD1VYrIEdFwW
WDVTZDXqCSHAMdL9A7ZL21HKtI0jslN7IiTnAfVB0W7Kxr91RHPi8mYlIAwcPjBpwjYwgUu3SAsi
Vov4BVUq+4PY32ktm4nDPHD01INb2tC3c62xReSEdAD+k8pDADAWnReByIfJTomab5DuOAHjN3wT
hcpf4Dil1HiR9SJQYVskJEloHS4dBIMe7wJRKFlVdhT/TagMYLC+flPN4JSTBWo96IqC85aH9vmE
gKTD3aunFFJhVLmK/6YgrXHM/oicHsXuZB1qiukk7/ehDZYW9tJbmDeWq8WbmTRRPCm8wvZNMVou
axSmu6mA+AoQAj79s2qvOyU8heq6L8JD2o478rBzDziC68yumtNVi0wYnj8JMLrS0JNQQnKFRues
c3kWABoFCGDzCQ9YFfsacxeMQ7EMgmtZnaiEMSvFq48dprw6XT2LA/8Yk1LbAflqIH2jBLmCbJ3S
zcgV8zDUrPkqqXFLaZJFFi2GFiWVVvjLAnI4OHt/25jZWjy2VjI3OEm1DtdX0DX6menYSI29yrJu
L6d/XmBmRJty3YicDPEj+aOj3ebNS9ipV9m3wNSQS2c3oSKFm7wKlZ8XnE1oIVXzHs/lVa2lWwwR
OKN70keRX7TiGJiYqQR/dG/YLVlYF5wG2Z/pt+6lSkNVUHJ3MFAP0PF2Xcc9MXOLNAyjJ60O6cTT
kpXaiO8uZujj/KiTvsoApgvWXuO1VnytJGDtVvrQNhqHYNZTpieqJsxCan7ZLlZKkr7WTfeA30Cz
mLK2cmWlfPQZjyXzTAHNJS+r+n4VKONKFq2TYQpP1Vjf25EP/K+3ZChS9aCKviYOQkdwwiMKNnCB
6dto1deVSelimRqysJzCJP06dfECjxvIy/6QXCEzM73im8FUhaUp0A04sMBfWAQsTGsZT+2E8rDm
OMFhBO8nQlIUYNNs1UUtNulWnc0fuLxJeOQr2M90zTa3YLPXzT2tsHPQNse67ttlkxs7JOLAwIq2
/LkR8nTfJ82DKGvz3vmBQctVbGvapgQbRF8Oak1JFjBfxyU3+YrCcLyAJZdO2nNUED4HdYy2ZTQ8
q8OYo13W9k4KPKWHG53c1YKMvGDE275rH4LylalggXfpwNmOvdbt5AYbioOuGkK8f6u10bUvIPBA
tMcuISjEJ8TKCdl9fZwKdptSzoKwedPdG336rIp30aG48vCLOTANpllUXU9gk7ZkN54UcAiNUJtW
FslyJLV4V4qcvc97dQlB8yus22WTpG/MJ75xdEQINWY1lsOJUJhIctpoup4iOLYpX8R56dOxDdDI
OPG1Y/MTv962Mi1d5CzLOiI3mv0ocvGEucJMB6gorg54C950Uoc8rzRJemi0U3WE5zlOzmRztENQ
0NMjgSAqth4ImBlqCGQsaTPOx6CcF0HJergkR50oQTAsWoUctW4koAbYSM+6vh5tgkJKXeD447Zv
Vhe8R8rjU4UwzBUbvIocVP5afWd1xhWeQaSZqflgj9HadNh4sc7Q5HhZBROGAJy+F4gsNq/10fgm
Oql9x9XhPr3DhpTJPuiVcy1ZWJK5myPFMxrt1hCd2igbd+KaL0CZFRDbukLtQVlQiMZKcmeua60q
V/GYT25hYvwIQIkrAkBeY+uuFI48U54JxIBkCYbx2A04eYqnZA3VjMEj8roATcUg2QeB9DI6mDq9
0TaNgld8/yR2XV7Ri6bTBs1/beBChyOYdWhzz2+Hq8vpLKtUMk3H2zUzZVEEGF2L2sYZOU1Qo37S
ev1V59GE0mtpNmgJWp33ralOxe4UnlECSZlrDWJAIQHj4k0OINfXYPQqJaGh7yOBdf6+7UmDjU//
2KOCgIDCTuW7ZVM0zv7CdOjj3uqDGL65CANtjIVakV8zp4ECv22PsKBJ1nhW6mjtLq/h0oQ15HID
c4XsU8FYOkImCppjKuwkvHoNJy3Izcx1ikYzC5QtIdhrJQrmC2gNexyUzilPGM17olDFmUhaCgiE
Q+keztaqysYnKc6XMS64QCuveg+O24mURQCv09U45+chKre9WIbok3rY79Uy1eenvu72F4AAgulX
PzTXeRmeL1ixpag/yHqfrQBNXNXhB5J3WzB0tBAZm0QQXqAPHMum9Qq5X9c6rIFKHze2Zv3oQvku
00ca1ahz3S6aaUcl5R4zltKzY3ml0vWyjfw6NDkZOljwACuvvrGegAEWrSa2BfC2W6kKtq1kYo3M
AXSBti187Tz42OyAxEvSeCE58ktn/zBFSAx7WUWycsgbckQ9AG0ZQ9oMPn1IN6oqcnSgZpsBdk2d
fE8UiBa/XxsqBK6/LQ2HBr9qQQyQIVe8XxpIbGlTciVrv2FhVipQcqHJR1PD9q0kkRP4X77QzIHL
JBjH8oOpJjeqgbttMuAxhl5G5K348hGTfVTsTIkGhusU1+eMAfIWMMbvr/kyF+PDcsZaw7RwYtBY
fB/b+JptV0akJt2ai9Pd0dRXeVJJS7WsAegliXdU0amQ4toDFg1Xfpwz86b9ZELDZbjNh6twZM2x
ofUaOPh9nG6ZqprSRYnTre1q7OnqV8SNqbv329G8mvHmGORJWWhz/5jaNroAN4etApPCx4mwf0Jr
fZZL9DJ9kT1VPdC3gmK1qUz58ZOH9Yu97yiqYemQrmSFHtb7F6zlrQyqTZlva4eBYnPZCZcL1DsP
OpfiRDNE2eIwNjVYmWgWxzMmAIafXueTgZXjqA7rPv1kNPYvGvXQoLgsurkXdt/7a8pIcrU2l9p1
UwcL66RVWF0mNPm8ocsOlV7upOzh94/hl99I/mBi4vkLFp/dlqoBibDFSZjxznqJ2kw4k426eq5w
CwS0w263TT+btPcL9iBMBMNhSTqqAhVIfX+nFa642mhn7Tp58MdMJsJxDsqtfUjHOPOs6HRpNLcO
ufnsAxJSOxYzQPpgH/DywVFLwBSijskKO1kUOKkXlbzuR9p7Vn3TSGQCZg6t1paUpZ/t9U9elPIL
6oggZuLdwEKHvvHh3BqKTKrQmnTYzQYvDDZP18o4bGsaBesLwCCVBI3Sbj01sq6x4Gs+mSyl/p05
YhgcmTokIdsRVM/3D7BTSS78HKW/HVk7JMCAUd18MyQLZdL2opsj5/2iYGIGzR+ZprdMj6ay77Dh
TyRjl9nGTtRzGO8Q1NXkx5SpG2RCNzTuhc/QMUN8jlP7Z0yjy+T198HBMCDtGew34oD5cdaXZo/l
FFhBs85wQhSEFwI7rTRJVGp9OLlzzlEpLlZAWHqrXjEhHqeOehKzlylMOdpmMfJMFnYagjkhhcxG
iaTiCLB7HqAjRNqqGfqXLKMYTGsK71qH7gH+nNTROcT3GmpqcbwsIoF1z621FW0a1YnPGn6vhfaY
zeH3sLNXZYkPGnaO9JNpXfk1CYgAclPBAO11mkvSfKVXdsg5Rf5fxeZDFOqPZiISPRhbg51t1Gl8
ZijHsaExj0PLrSBR5j31IyaHoHuOV+XZVrWctSnNByUhDf799r5QKN8/b8EPNlC2mFiKmx9Zuo7S
j0yElMt14INV1F2EtoraULQkB4T4tP3nk8UQh1IO0beSyTMugA5d7uwCi78gnlDv+Ms4wZhxEll0
4IPMXyofhWz/gvz4VYlq1GQFWhknocIwkl4U8ip+XIwKi5Z1lt2oqXU9mT6ZVVE7roTtomijMZDv
SWqchzTlRf3+1j+ofgTryTKoimmdGlCLmI30YYf0LedT3cMwNEUvtyY/kZ/0SmLSBYtArC9wX0w3
7RrfPmAJQQ9IAvIhpzS3UZ2df389fz9vLMOhu62q8Lll6+O82tBE5h+YQbXOLJ7GwKNUWXZK+2ka
cPmkD+/ckhXbseDwIsP/GFuhXfmVmjL3Zy73Nh2IqoAhhRUfdyaAkHFgi9XGUgW/X8ky2Fls2Oeq
b18tBkh6kXgOkkAvNEZ2JzXXidUnhoCGV3R0j4YSqAiMOU7a65DOIA+wxEsyg8solfIj6hW8M9qb
LBwPAvErBEYmGmqwOm4uvTM5t7aC5op8G8c60VxWtLPtx+N/YwFAZYRialiyYZAev18AedtjuzWH
5dqyqJmdIjjBjqcBAqdPBEg8I6kxBNBW0fwYm/hRlHkTkzLcrgrPmH99Ivn4+1lrWYoByVJTNf3v
jPlU7RqrVJRyXeMA6RaTdlME1cFQIQ/k1m2Xgj+i8//kS/W/n1SWhUjcgWurKbL1URGiFUpry3hl
rafBthYpduZOyZjFyxtGCHYylG6nWTQO5QnzVscR8JH+NUd8iinSo99Z3zVbpc3eDYcGFgnRbsR2
oWfzxrlJF21+qhgP2Pl4R9VPeqbkmF+BeRrz/H3uby6AURlAkyKTeLFn47sq2ERqaa7VPnt2mvEb
UDxdi1yY7vWf3PwvWMbcvCE4vZbJKfmRyl4bI7TokRiAOwP5BeCZ/NaSu7oysATE7ra9MTH0DPAO
IQcFPqGpLS96BP6/3/wXAdrHPWmyBGl+yxx/H3c/QkR7KHBtX1/aoZdaUC9ogMi2uugxRN2w/tkz
wSpuits4y3pG+OjLJo0eGLoF4C3IVqLbihnR1w6LErttuU4BbeOdtr90OC9cGC1/YW7P0LVAtCmt
T7ollYOe38B3QQyBAZekjm8T8MUBFwWYzijgD4gxTsx76MPgrW8hulSTtLzQ4SMI4KFJhqUZ7dHq
za1UWocLQp8LIhaOnmra3LVMj/EuB247gNxH7d42HtMUAFKXw+8Yoj1nAUqPSc5+yImF025F8Vhj
jErLQ73PYpAoK35KZJ32ZcPxkuG9RdFEd17vt6XCyRIklebOSnBOQx3zXtSpPmbTfRgy+KfbyG2x
znWMNi6RTdCHnCn4Gs4KxK/kjF8SrKxmrw0HCXGll2BuHo+cN/ikwwoSJw8/vkebjQXZp0os/b3G
8nIMAVzqqGVg+sqIHd5HodLGuKum1F1r9rbBnR97gfhas/pxYQAW1hpAS6bXR9XAKZ1c59KSjyNd
XXZTo7pz3XqccbS2SVKEnw3K6fqhxzxj8X+oO7PduLFs234R65Kb/WuwiV4RoVBnvxCynGbf9/z6
M6g656BKLqRxgftygYSgzLSlCAa599przTkmyTWpx5UwTPwzPWdmAnTdfshOq351SRqYk111nVSL
cYROenmcF0AI5eYZU1iF9Tr6odmcq5MxZiLfL3doEs6nrrSw+cELJD66z34TTTpHo5yRVMlYLlD6
579/NP7DPm2xHXIIwwIiC1n/sk83oaaOHdOlbWHS9uqnkWN1a4XbpApwWNj0yjVxDBs7d9rFVG4T
qkRN0XzNCkz4TeDPh2D39y9p9U99OfxbAq6wii8Fm5Py1ZBjM4636daWWxk6sUv9v4fvRbNCVn1t
RGCih9IZD+1BimogDCgaAr0n0gjMiCdp6ATsCvq3Xr8qy8msax0OFp8yuwKJY5I4fMpgJgkNQo/S
UY5UyONgHe3CRt+F9STXg+/hUtpbyhf0y3SJ5aSBFV8au8Js3pJUcuJSdtbTTxwOb11JlxhRDZFI
G8Owdv0Ifxc0/vlzNgc7QQClTYgqGRi1ljiZx0x+hN/AbjOx4i2NsTYbGTbnzOaaCeHOjKXLMXqG
vlnJQ65YHBrGaN+W6LbquoGXafYb9PiHIoXKZeszN+UQ+6jZnlQVpaDMYMuOSUvDfCjouxL9JMXr
eNiYqA/tmafOwoqSV9pJHrQt4WJ/OJ6p/+kD5ERrKQTSUPsZ6+npXxt7NXOEZIzKbZWixBi4zVfN
CX0sy1UV+qmJFWabYM2hkoNo3NDQMSsnTVikVh4G7z351QgyyNbUhqq/fiqZFkbXTgQHZAMZyfkc
2C2CQhIJiCOvg4eyzpHuZt1r9hzO1JGFoRHcAEL0D3fnf7g5DcpallmZds/XxkUPagHuQ1huJUvb
En+EepzFeSEFYt1ZP0vzDHnR3//S386bJg8ERzaaJRoVtWx+KaYipQXTlNKoleHAAVuIXbBTTDcW
7WecL+hAKCpzy/qRE6SU9tTaNHAQZo/CrVWVcLdVB7j2cevA/C7SGVmauFlm+/b5P+xquqGM3VaT
cmP4/kc37Nca6PPF6yzDrC+rv+eLgdsAzJhIaAe3UJzuZmgc0vqkjy13JMUsOBWiKNfkNu2CLX7/
9xfu6/LPr16XN/xFKgEO4rcKJK30FlUboKfVB7TW/rNE7a8xJHHo9Pzx1PO5Nv1rpWGyU7Cc4knF
VqfYnx/kv9z6xBOUBjCJaO04Bl6maxw8VwjMXA4oJrXGdCcNeQMJbQ6MH1eWR/lEox2HzlR7cUG2
Vw4www8bhMTlPtbHgFQrkkPCmaBHeJfpBtdwxY5TK1t1NpkttrCEWprQaNw+IMgMbm0QDhILRlNC
aW8RsBychIh5DKRIJRblDTBwlEDL8NSZYjsayvc2DaWjsivUhAl/V8L77PMf8dIVfqZji8StuIEY
ZqwinBuZWv26gX8rq3FlQr31yxjtcvVtZt7hDwqvVdbI+zJDrdoNzcL9mHevnWgHCDcLTa4GQyF1
hquFOuIvZDReOw/PUzD6lZ7W3qwjHpnaj9D8Mcv1N5l2szeoMLPDEbVtn15mW3DtcMhZpgqXV2Xk
x4GL7MXEkQ2kyjRGD0YtJczs2rMgwouBVHYLybDxi+iWGwJCJDhnophJa7H6H5O9vEZ58kbHHXEY
S6ctv8nMQ2ggEemHuf4Ez4DRhH1uF6L0FGWfU8ajdoKlUmkN4U6R0TmwVEHYktYZdTG8U1EdOzCs
fWxAdRjkPXBulnKp2CJjqiiz7LdlnRfHVr4FcR+5NK5nd269ro6u3cAxySDmyW+AhLea2WwXsMce
43fESDKHeCoIwvOWCMdhkaKiDdRtElSC8IQJu/nY5kd7uktVADpLuleddglhRMO/80M9Dg4W3Q60
O2CkejDDrlTLs0e2x17kGmEK9I6QdXD5/vAgft0TTGFxDiJ7l24d7kNrPZ79y4NhhzgNQb5avrJ0
oUMQPHTktSlCaXrj3uKU2sqax26IQ0mm8Q/5ysGYSL6iCqXaB5L5E1fOTV1mzTOYBfMuYowuqeZi
g//r0WKbOYq6j10zuST9YMBGJtdGwukQZ9Ea5wl6Ri9+WMh48N8j+jbJ9tXAETsij5DOWAlqNXiD
c7emTzSFv6RgvCdZOkLWmz2ZFw0x2DwMXKCNZje1R66PQa0xak5SdpcuEk9JZzwrMRAvreN/cxp0
5e0Yq+0+o0K39fEx4FTsySX7sBHm57+/wl9bkpgnWeBYXTESskl8DTMOugqbGLQdP2qWbUMzj8P9
n870v32I6+8wTYteioxS7WsENlFbiHwNMunHdjzlvNVNOTBhnZGLbDLdfFQt4y9dNG5lS9/VGaD9
LCHu+/v3+dupkjfKRqhR0dNYYF3/sp2EkmUkBA3BcAmhsQEQRsgHBglP8TIyGTB2YMpuulS/W6oV
uAL72BY3iFsSu+GgsfyTX1v8tr2plDkYCTnHM6iiJf3vdzaUNPILc8KxIWBKfpU/82vBBneSby+I
jzjQJQm/OtSh8wKnpAk8k2uXdyeI3Y+tUlI3FjkdTltG1WYuXp6qxEi2lscgcvL//uIZ//HFMmwV
tEDwln/W3v/yGKbS0piC5EjfwGdKMkb+Osx1uxslguk4kECoThPUhDJlFm7ro1IqBH8UhZvVsr0Z
ozm5YMfg0b1BcNIf5kCH2pNBnlNHA71jH9zrGZgbGSEaiYbzXTUNT0rNxSUG08sbBa0drIK6a/bK
UKONXM2+BGUpKOVHc9lhc1IBboffeoWVHFUN4dY1UbZTv6XbXN96BczV3O5zzqp5FBEiJ1mhGwmZ
TDZ2GoXIgh236KHU5+UqlgJ4O42tnoH/AcgcwfAEq27lZOC8XBaXJi7IeCUR7g93qPXbo8h5UzMM
Q1VVZpdUiV/uiLgztJpKjn6NSHZFJ13mUdI3vY5fCUA6HnXR00yo3rMA+/fn9TFLAkapVc6gES1U
ZEG6Me3mV0v0Jn4MCNFFWL0EZJXgbeRiLbG2UClMz2DEHtPM7ggzY0geWa5JNoVbTS3rf/5LqzgY
TYv4lS/qezPZhSsRxseuW+3EQLSqwAygdkeyjVQPfQkRZzM1rIkqY1lWdx5xGyBdP6y81bfLmT4t
4/Yu9iBkLhtSJ9mUq/Ab7q6B4A6YaLko17FF99iX+7oTi5NXAtSWYdyQQeHXg9kNa/1p7rN2p1bE
37WIn8lT/ugQ3rjWeutNuv1Uj5RO5hJ8I+X8RY+x7scN4cdVUrmLBu6sHaKNSRF+ajQCOyu1fE3z
cZPHZJKMViz9YefSf3tk+DSZ6goWPgaV6tfmUUVSQrzEpLj2RfZAF+WQ9FJDy2Q4xeF4z4mZo38G
Qj/gjJXW3P0xGANHdFyeLg1lEIgA8FLCMzHTZrzDNR0iX1VANp0X1N1IxfX25zBD8s3KMwlSpVea
jl0qy97k3Eda55u82MsxDS1lB4b0wgosubHKHUAsjf4AtBSG7OhzS/6ax/ydHpfMMA9XIbw+bdMb
F5JoJb8TvDQjfkaUfJHKIMDqnlWbIVZRBM+8h79faH4b0Zlrz0UxNaaMLI+/Ff3zFEfod7hqQ4ar
FakscHgm3zMg+Rg3Gg10ZaPIb2T1qS6EoT8pCJTf+vC8AIoVS1/HXQJQ4pcjExKRXMh9x7Ic9o+2
ne4Jq7yoSTzu0i6XvbTJs40IwhaNf6E4lWkG1LfBR5QKUqvN7r1eyhaJ1sRRHzY0dgfsh1K+q4lV
3TCf+AYGHg7tUHMABJKK2W94ZVZzGkPjHCx6S5oqpELjIFXNZajSiq7eujAm3Rv06Cso4HcmEgup
WxM5caI+NQmbVdjEqbPOwjgB/pqMUfc7/OKOGN71GKq9MCsP0TX3kEBGkkzGy1QpVMWVDV45o6zt
9r3KfkxdhXEec47IJnxvrWx4aaiGjNTYK2EUNadquqZdlVyJwHHsbo1cnck2Il8G5DARyl02vjVW
CGjA0B9STYE2MABagAPtlTGcBikezkIjEy5BzmWSdNBZRbuzbHtfzabiGg2eBs3AwpDGw3vWRQqM
ffkSjak4rj1NQArgKKHUoikVx3Z95+iEeAMY2Wl1p4PHgrMx4+BDsNrxvK87tyCLl2eU9EFZPYBb
tv0mNxM6QtNWGVXUg5S7uaRFewWFBakjuacDBHbxeIRuIsnIMvrB9MJo8m2NYNamkL/XWszsr5cb
J5H12dEbjUJeImx+zvlvAwmG3hRQuWVEvpG+An1a8muDNQ63y3myTcR9GERORkOvrA4CjA2g50HF
hepWTMi8uzFl57TEn+aKX0cZ3No8UrSWV3bBWnb8+/7SGgbEeLznvsVU1IEnG/rhjTuZNl5Gaa2V
rqlzHPr7J9r67SytKUwqKHBUkikhVnzZ1YgVmA0mW3DYBFQushheUpv3LezoGMSTK1fA8jITSUce
p41fNC1xPhq7DXbgDIC5l6zeE8mazvm0qBDVUb+VLQ4CyZZu81JHxxB8x6ZsSmiPurLiAbZNSTMt
gS2+6YlXxL0PAGAk0gOBKV6CpS/9UskaPyymmK0Ia3SEOgdLYfGh7Or9TIHlJzJHYoLHeihHLJtq
OV3R2JE+MOkkQa0MkSgxz7aC8/Rzxd5aMvzfNG/ep5k4Z0Vo93FQ3ypV/GpyAL4mutv4Jy3THhWy
ftKn3toSQMyRwDC3BGaQFxjGAEHplHtFbV2xe3Jj09zxAiPdw/R3RuKacABkmMcrouEWqbjKNmnz
0dBzlqXxvx2VcjekRU7iDGsmUevke8j5tdZpm8XSlP+hXlEE98u/NS04tTKg0ixUKCzVXxuuzMzz
Rlqgomlkj9lzQ6nCBJOMU4onctie2nD5a6mN/TIvuQ8gBuFwqxy0dPzDCxGfWIp/fyWqrHNPKzQO
USTaX2p7C49ZLcIVoIY63Itn4oEyu6i8MU2tTbAQ15rSvXCkVWeaWMam6i0eRC32eqQzsFiPCcGC
frOGpK4bkKtQcZY5n6M5FolzbvUpcCaakzST+eRJC3iVB1YfudRgzgXVneivzK3qnA++0s5t3r8b
RZj49CxYkpp2k1gmSUOGvl/0gOAbmb/WjL4Rcl30oiS6ll9Va2zpwmhPsWBhJfjP7+18n6yraGJ0
DLkEttEgf7S7hMjUpPYjNjceDAS2ltzSKbbORASo3tTsZQ4QVvQh6MxQeOV3bS5f+oLCWeDW8iTc
9c6o9m89QttjemNUA62rn3KKh+apXbWvUIMFiVNPZtNxwhgqp0qpqZc+EpsIrg5lFBPJfDQYwqjl
XcrJozIhsufmcJzIQHfMRrrrI41VgOP4OjSFkRnAhgpO0IJHciiYMg8/c5L1YHpk8rFI11S6AHwE
CmXsczklHQ8mHWxMHE5r4fCMN8KzJ7HPlNDaNDG2YnrgDuEIE3FQiFEgLCf8SVzBi1a46cC+UJMc
6NIvo0KSmkShiglh1luaAC8SV645R6HTL1eSe2Y/lOpbHKeSL6vNDiSLiQyFqqvPSeE0yVkmB3Jx
q8ZChsk0CqBsgd+AxPYiQXSewdM202M+5yNcbQMCRqO+DfndTNm7WyVBXs8jTl2lssu07W5u+FtD
oP4kXY62QcwcIQbdtbF+DF5W0QWrDR2JdzctLuoQ2w9WZk9YDQcj7vZdE944v1xYzjexbESQP3G1
G0HjKlF7a2qzc5UwN5wAtSdOkh9dh0K0x+jeGuriSqNEXLgsn8TasYAxeIxyhYR3tF3OMKnoHJQD
HzbS/PXKfy43RGBTvzdd7QzkBrmEQrROPbS/CO/lo4pyklcKodEPiXn0Ro2GPbENmBkyJM8zqbhz
dg3DsPFEbP+CEfQiG9W5C9ltyO5dXGF2BGZzO8m1mP1kxr9YZ5JLQc4Sjk2nN4BS2wZxikFqrjgx
+fLZDKtszjNcbOpmzkBzOBpeHPGCPnev/9fkw3P80QA3/9X9f4A+RNxJTft//oci+Dv3sG3f838l
HP7zL/w33tD4B/0f5t5r2i8to7WG+Cfe0LIhFVI225xfCcDj/Pq/eENh/oNdDB2NZaziN+Z8/4s3
FNo/0E0irzAUNhCAif+XeMMvdDpUfUwkTV2hhW7T61GVL4PbMjJHOSIHdadYUX1NH6duiA+8l9Dn
Ho3PxveQJFmX2pPQ9H4ZiAMiGKvKlSeNmJ1nMiuXB12Sv4UZTqR0kcRxqlTbE4sc77vq0i0if0hK
VkrREGcy6tnLNKqR2/FYFtpMO1lROTg00wGL8pGh6IwvUrcdqRmzYxTW8UkPpgcF+xoH+jVu3sry
rdUuy8FggUDHMNo7c8hGxypAeNOX2C9lp/hBUDQ+lp/lNV80JnqRE+O23Fu6kp0q0BWnz+9MDXw/
+iCLxlqKjVJHGa8uYgNMI/uYxltnjAm4e03aEbTQ8swy6yL3XG/NawSDP1J1oj5Vg2DQoD6CNpyv
S4eDXmtg5wyVzEgNFY7cOXpVv5RlO+1G5YJcNMbMwAKfXed6BmAa0oHI6A9X1fCDTdAj1OIIriZb
gDz0oJg2it48yYruq33R0NuPTpzUN0Qe/ZB7mnNabX4zhblvNeq5IOwrr7KynpMFKS1Sihs2tT8M
Mh225UjOdVe0jpopJT0C6zFQtMJRp6PZJVc6dwMt6vGRNU/eCOnKUBOGiDHC8m/OadWi7x+iXbR6
a0t0hkQLS8denjmKy8M7w8YTgscUmcZwsQdTPusheRnFbTbKUx1STiALofBPpHOSiVcMlwUyDLkm
U3mgtmzl06hPTm8lIXsCZ/I+8tHNFg5pE/CtQOSY3H1r9oCu/uys9FeURNsxaU9S0pdeQFad0ytS
7s98vg8FftKpxLvF+OAjxddq1+Y1iBt8YGnvk0ZA/2QBIQiKTkdgsoCrqW3NzbtqZTJ1zti2AITm
YyJFf6W0SnCtaizK/fCgWVPhjxZ5IAoJLRuxsvPZ5mRnsTgKqazHnk66u65+q+OG48zC4WrlNiK+
vC16/XNqhJ/jUe3m+l0hrlVbUDYQvEsxqqv8mtOgFvtZjs85reyYYGF13nLD/yyKSvPMAN/FVGlP
k7I4htocC63e25r0Cuz9wniOKGkCmyQM6DbJKFFM/y3dh8bMqOiaYYvedJF6zSSGu900cy5FHJXx
E1RZ+hEA5/ZMgw0/JrdyUwWpO6ccH8lIdhjp75nNk7fWfrfD8GEilj7soI8VulR5pJiU5sB4xcoP
XAmnrNPaXX319Ns4pFEU5s9Faf5lGj2hHrCoCoE/AFiEYLuM94MWdKvlZZe2Vs/qYV0DZZWtzSOx
bvZ+QELrkhJL6hbakU2Kt3T1G/O8JKG8s4LhkMPD3pAN1jpGpz4FUU+IR4SeNSH+hANMJh3TSrZd
MrsaH/FT5IQlf1YE5IosxByNjLXurcQYiF9Agp/MsG9YiuPS5qprYe2gEaGBWSE8GrMYwAklbZ7h
bhXbUuo+wFzmuxisiBuVxuy2mjK61bLMuzzOj7IyR46iSvk2iQZYSAgeDI0uk6xQnlVF/pBGZIDi
nCRsjN46TRHyHpgUJfNO1ukm6UV0qJvIL035Sc+r18G070rDqbcYFV9PJcutZ7LbtAkgTR505Eoi
ROD+/ClFmUeaV8pJDhAKNyrqXcO8W5F1pcmJHZwVi17RbdTJ8hyG9JsIvhPz+KBIyjZq03uHrXsj
mwaxZtI7ZV/oFU0GI2YIUfEmP0by4KG5WzuToD4+pGpbhDy6ugosQiGgRrWfhdbQ0JnWcbkSEVtR
LOc6bY+4fnvH7JjdDVOxYKRuUSTUugO6jN50QV2ymERJRwxpcbj/AIRL9xUOgahQgpjNdKbP9TAY
RX2OWbmMU43KyVvk16ZZakfI8UThau2WFt2FvH7KtNqPtGNn6s+2dnCA1NsaqNZCDJQl8MdaaF5I
HGxuWHTV1V0dPNq1Eboo6ZYnGhO8B8IxObqirwikWrkTBTTScZ8n2umifki0Vn3QEHgUwqw/jUCb
qalnZrUFZAERXXImlLLo2rOZmjpGOya2kDWS0wizyl90YwUv4pxPw3m5lSaziFC2sJ32A/EqXXKT
cMhvrUCSDtAd0PunjbWNFoLgCS86mkne72g3dk7Kw3TLJ6hSBGTiC88682iTzrWRRqIaJph3PtZO
9VymeuUOCoctXY1elbA/k0g130RiY3AMUk6+dp7vhrqH9yeKQEI/PmJVGxXjMNCFfzJmUg6J7ZOk
RDyCHms9ovcmN0ySPaOaZF8Pipfq5TcyyEivbAMaYHY6bcmOlXr61jICgY1mUaqznqCO/6XNuWf2
RXnLQma3WAOrcxPBLzNokoK2Yd3N0YxeSomzVjkSC5x22cGse9kj7Vd7t1dMihfFYXrQpXxtgQzz
dpwH49jG8fyoLYwzmSJGcUEEacSXPg7iY5ElZ7mVeqbvVn/HlfgIGLn9rqb0vpNkyo6cSEG2LUCH
O6F1DzX7x6YnWtZkuSxRlJqYvavhMqzM3US/2NWQHEfiFA6yXk1u0AQGILuqcquh7e5Kv0VSE6Ma
yccfGFH9luMHUvG0zTdBHMyHZOVId5pZn23RpUf0iYufd712b2SYW0QeST+jxdcSdtmROcdOYy54
rhoiNFcrqoUoDIUtoUXphvnRdCZpYDqnc444cWBLYhLXfatzafJKtu5bw0nGBdzHkjrAUuqW2Cbo
Q7mbcmk5hK33D8aigwVMp+KjqC4pONofZoWAr5kNZc8TvO/JIz2ZEL3w68vyve34NGWrny9dZr5a
zVhfjPULyZW2i4i+dGE715dkWHQU1kSYS0T2HJk5/8+XVre36AUuVaCLS4g0RSzpTqVaxd4eWreZ
gyBN1Vl+h/BUb0YYH7OVomHGPnSv7X7fyCYITbWMtoGdzhsrmpoXk3AJJJhCe+yXWnE18S3HDvgQ
m3K2N5LU3o0xrda1j+6WufpETWmeE2I9uQJ6/7IsAA06M59e8Uc/c57E2l3n//0FJ0Y3HwuDGGiE
ieLEx246sxT2iIBIRO3WL7keXTl8IiqZF/vYQNM5Jc1ID0C9cDpoMexbO1UegCXOCUqA0cbpPXQS
aVhNvTVKnBlGo6nXul1ZsnPEJclfInrTXs8u99CrhrrV9ZH2S0frRI6VzrcJ5T7GRkLwCjMsb0ia
66I33Z1DXnimwYhoXUPmxmh0j63wxSKE8fb5pdKttfdu3Un0e8r6fnoLG1Za2tH11cw1xM9zhF8e
ECfInDr1Khyjl5QM9iXNo5dqVt5TiER+1+CVXDS8F0pTgofu5+ghq9g9RAczqgF/NYeHKtZmJPcp
XAhLlBujM38USZUc+oLmpJDoC2Ke3jQwuKWKZAt70Gpm2yyvpvmG16DZqtFAcUlwhDdP5mtFZOYJ
Vuewpd1U76YBLcUU2f0hBDDjpBGbbV8pghDHPDyEQzpd7XUilIvCOikZKIqxhhhKAIL6sDDXy4WI
7lBv0eEW4qp2w4VPX39sEu2sSdqlb3TzYpTD7ENH7Y4K8opN0JQBcKjxSNqoF7TDrs/sK7oGWJgD
+uvCsDfl2GIhkdqDNmRX0ADUxRiXU8T4DCCRBwfBMPo0gJBmDPNlGJrsFIW0NfNUlD4KABaAVls+
tIxWYS1Br2audIjHYTmKGT2HRdQ5h/u6v31u1lgH68cpCZVdhvZkO8/VAIDHoA9BFBbOMboyqVyr
p7ZUxT+/5A2m3iSfa0/AmJQd/jTT4vYdWBdJz23NoCOVWt5SPxejb+egnYsl3MqsbPQvv5e22Gl6
BFJxPcWQS4jUn2d8bktpX9bmbey3woBqPWZWuIsFrcDFINRW/wnMilC3/l2bgm+lpKFSzIaFk0lJ
8poMnLPTek/AMakjUq3nGSBKL2vhCLGs9eKyNogs3qhIsW+YgaoHq7TdKs+Qm4bgJz6/+/yCiC9H
IOV1qQ4VdaqjF2LncOG2gzjEdZQ/l92h4tllIR7zcyLi8JWMKN9KuOcjc0bVIZXRc1eO/qB24+3z
36CffRMRqyX9v8QZ4lg5MeNRTp/ftSwMG60MZH8MA/WkWFO0xTqF/P40j6rbTzRs1PCbGXNrINza
UsOtwu8V0ae8GHdwkC8JK8O2be3E7RCU8nm4tZ+j2MG/vNHAtgby6VkCniYb++mheqyf8qfmJbgD
IL/mJzU7GLAR5MfgYl2knJkQAp822c9V6JwS6arfzHN4Uh/0RzbqKoc7/w5SUbp1onBl3Ny1hXZa
+xnGaGYu5lneS91L1OKUe2HylD9kR+1aa1A4YJu5xv7xsS39eN2xn5VBofFkFeXDLBnKbegebam9
TrakPRGtGN0pqDckBM+PqkYfshb1HU0AIa6ynh3DPm7uSmZzFhJiZ6AbJB/BDnCqqsV5tMK/xFiQ
Ud2TzBW11ejkKacNupBPNY9Nd5uftNwpuBDp54UgZlO7dAdwItmL60zP/UW1HfmpvVaPRnXRf1kf
cndI3q37cstmR1M5rV2pwDYe+7AfXBhKbxoe7TtwRpd9lUgsGPHK7C50HLZZchgICN8w6mJwqS57
K3rX3poXNTzPb8ZdxKfW3+rzuZC3PDjj5qEYTnXs6g5kcDf+pv9qpbP1Mf0yxVO+11B2rBI6qpgX
cSkCzzjJ10zxBAAdkEP1cI7qbRJfjPjBrMy9gSxkxHdPY6BzV95ptG8UxXskdNVpQ9eDM1VkGmPT
Od/MyDSMR12X3W+2xU2S0XuBDB043/JYumfwQprW56lW7Qf+aX51xVFc1LP6GD4n/OrckR7iRNrm
59modvtykjfxLbssreKs0RTld/lZ4VUGxrDNMKjHSvDcUbA9Bgl8G1GddaAhTeZH7piYTrm11+xX
kT8lbPIEb3dKvxvL4tUOJWLl+dnAAokWJxDUZRK4MW8GJcTsyJfsqKjfeVcdL/cYnzvx3r0S7MoP
fyl1L3ocgcpvYiSQ6NVtbH27huW7e0G6cRdIxDSn4PSgvYHUUj8InE9eFf3AecU4qY/Nq/Ut/K6+
DulF1l/zlDoWEpBbLLv0FBK+uM2O4hpKu/hZeiyfy+f6nAp/YApWxX6H+W/y/7Lt0ksd0zOu/XSQ
ga1KHk8/WWcc4p/rZ5SOm8Q3xp087gs4FoQu/Ah2UfnAGOU9PgU7QrQ3ffCxLpp8VpTKVniciFsp
3rWPIT1Y9/UCBE/m4/CKsZeJdEWSgb5/0inr+4wsuQlK1Lm4EL5W1cG+DB+J7WXIh4DT9FZ7wejX
2qN+Nk7i2rymz8tr+r26tzdoYCYiRd78+NwbD/NZAzsylXtOIQi6nz8IBZRgRlnFvplDdxgm/i2e
ha8bx6LlPKsn8nuKSRJZeL6phtGdX7P0qKvjJr6LMPKSW34JlWBT3cLmIHM0727m+Dh9nzvHfmke
m01HOZ0cY+Sw/VMBPknzA8q2cNtMbgL1N2NcqAW7CmWGMp45zdxzOdiJXXJjQGZZ5mkn76LD1F8i
z9L2Egntu/lHmNFUSjfdMmzzVvKb5+G5vZMQca2fLJ7P6sW6U0Xqb5HyrX1L42cjGPFZ7IlY9JIc
5WAXXHOj1o5mrj5UVZLtJflg1fMILNaO/bbimmftEmKh2TTVsUUTZZCVJpEYgR7uIWUpglX3FNwb
Vfdf4+VqWFsMEHLgq8WvKkFc+mLeSjwRlfpUz6V6HVPQnVLjNrfguCLOal5oyfoVPinMH9fOlmH+
gL7hKOfhobxOL/lTxY9Y9OHQeVmX7IU0eLRX0tHeBO24VzEOxfCkPSUxNvl+Kn5xuDloyxxv68TW
t6NkPy1t0x/jJJa9KBTRG4XdMe0z6UPNsl9CmeunSlhHBt1kCaKDPSxzaJ+qfhKeQJP5NI1Gt5F1
EtyUkVx3C0vGpp6m8F4zr9jD5uz9hPzSt9lcfCbExHwUpXGpKO1igI1/pXrwLYsH+S2on5CnvuO2
WHwRE7p0CBL4OBJ4jq2FGX85k1/OuVVIh+qxeOxeVBqHctjnLmDEXjY3xkeic0/KYdo441v7JjB0
MADXL3IqvwR9ppIYrNC+rcsfbS8frXLUPqa+f0VapCAYtGwPYnP0YDMJ2SeZdqeDixTQnvp9shjL
HaD3nv2pvps83y261xp7lhiP//wWcnnkakv0givgllmDevQC+YW4iGazHS118hLBf1vkJw7NOasN
3cydpiyXetTOylap1HynbEtcs/uhn7EEwzlBxTvCZl6/pbt0aUa9dIOSz7YrzPHUrF8+v7Ot/I4S
A3Yk9AKrwcVHwPuM3qJX0E8EfqDlNuE58QNwxCmQdgUkf8PVamjGj71qUUnKIXl00NFtOL9OBwhr
Oxii31TdFEAXI3BZHUjRLojzdvIuTbxYzPcoyajn42XcBILcZGPwuZbRRp31aouQGzyVMvVo0ZSI
HU+a92As8ge7I680PCkPSgP8DZWUsUerIQ7dTquSZ2WmdgZezsSw0Y6E4mgHgkeHWdlUYyjfp250
kqb9vrHQC1+QdtuC8PSgeJ2GkjmiyckOoDJNL1Gc26Yuz1Mflueiyh6nXi72poJrpRr1xaftXLl4
fe9ZiyVepBmE2guhnLGP1yfevUIo+ktTTniNqoex7b6rVRm5GXyl+VcLvt1rfeYF8sZU3wSN9Icp
Vpt9LNm/MklPr2VQc+Uac9gFhDkQ+TnvNKtNzoYa5cgnjXplNcqHJid77r+oO7PduJF0W79KY9+z
QTJIBnmAfS4yk8xZUmqWbghJtjnPM5/+fFRPtqp2G31zgA10uy1Xl5WZIoMR/1rrW2akStehkPSE
3LyJ/LZite4YD8z+OR2YJxkrDGbjRpRMgXk4BQ/2y/yevA4PzaW9YRVpXFN94r5ttfymio7FkkYN
aFBEeo6dVZ2nN0VRlTdBNZ4tO/WP8oFB8Tkdp3sJ5cf1ZZFs9O6c1ZBhk2CXUkh/CDU6gQdbZwaf
9R9mX8duExcMTOMwZE/EsAPdMxDatwYuZYZM3V6FiXSAZ04zbqiR8YLJmWIKnyxtIExb3pia8V5z
YF11Wstd36UvQ0UKt6Rh16C/XhbStccKDtiiqhjykdPS68Iztv1w66TgznIz2PvcMAoB2Uimd/aS
AltYSKpM63VSiw/dKXep7JiEhLi5cB0ppn1VcXXSd0ztMxPxtaMAlit6UF5V6im2+iocBPdeafMz
BFIPrn17kpK72m4Cmz122noT7lSlesWatS2D2NnNByIZ+qFnZLWe590Q26uptvRb04HK3RkA27pk
C+GTh6P2w6jaPbHLcofN4nWq6HmWCjY3/MWbTFabUF0ic5Qeru0+YaptsD5ZwS285Oa6818BAtQr
JckcmmRwLi0YXi6X8Vlr1SdcwD7WldZ370GhRjdSYUDnhDzmrIyucmF19SaLCXFY47NOj/beKi9p
chB2N7vlkJWbsdFXtUHvMd7A9SQar2ySN3acSim0XTGM1FZ3Y7QToCLE5OLaid5ajbKP9gOOEc7Q
gJyTGQ7bUan73SDoN+gYybnSLkE9+yHiXfIhwAqMNRrIwDhwbURT4A3C8L0RYR5jwIAx2dJOOjba
bZCjEBpMfxpC6hzgGAEZm97OLcZQA8td0FVHyogbGBh43QGfQ6wuzEvvNOEL/29PmaVEB4N0aznF
fIjQMrwibh5phPtWW+RnGLdoB2YV2oFLn9dZ6xmnGb7hqOvBka1beLDC164L7lJ1xC+8/GmslIwa
0gWRWpkceYfaDVvIFfj17J2fx6+B039wE49rzoP52sn793LsKdrKDDZlWLsHtWJDOHRQO27EfKtl
U3CtTD5ZwN6RG7MeWIPGIHOdjChsI19t6hiOpFVf8srhSRlJmioVhsnswMqh0700Hir8pr2y64MW
r1eePzrzO7ZlxcNhF7qDnp4mToxeG1gF60iEhbt+bOxcIc0TJ8x+OEgbo7UGkHsdE9ZchwWHzKKN
r7JZ38pUVOuMie4ZF/9OIdG57tOR9LDeP88jz9VGKIFrwDeEIsEsJV4SNHC2135V3OZ1dK6M0CED
SsNFy4+eMvLGdUqn9Mq3HpL7etC0pyBPhDvFS+N9pQELSc2zyNpVbzEqRIpmV5yqD9Zy1qSkpNiM
RkAQdNSK6xTf9fVQXubCocI+7TBRsrtYZ+Jbb9yjCQjG8aWOyJRp1/7gp/eNiYWCStd6l3YVn2KN
+dIJkuEol1/8enjpKt/cjSTwdpkCN5McUwr1bDqpjAHxWPNLFnZ4IKZhPyMoHaXWzkffSVFQ5x41
Ii7yE0n357BgSO0780HOwljNOlQ6sFnaJivNztX0dguzK+JVKPN+ltaJTh7nYmtxel+OBmZrZ97S
ANd485hYhzwN78VYbrq4X3iYQBjjeFb3VUH1wnIft/1DHmblHaCYsqRDmUdKvyXXBha4M+LHksFt
2GkcefPEos45jLZNHs9eNQuMRnGhrEpAFK6pOa4inGeannU30Yf7UkHUBfUFUnHGvEfVw6qXj6Tm
qI8oGEEWWJQi3mEQ9zp/mU97CEevO6rpzBF8nxwsmAeUHAZKMSE1MQ9XjVcZadh1m+7EwgkOoatv
CyU+6iZ5Ih9zaiaSecUOjjD7eMktcx0q+imAIJ3FwbouKD7sZpawRKmPtBZaOATAIDGB86JseTMm
tnW7y69qPzgkfigOA6jmtdSACs/ACk9AA/JNj0dPKIl2GCw20G1Y76Ua7dpMIV+nFx9KCp1VGvTt
5NNrS4P1WogErrfi11uJm20DHKYD7mBFELYvVR+Zp3hozq0Nmmq0cfU6P+hi56DLQNuh9GWlFh0J
4rrm8anaPAZFcZtsRqQideZ4oHVVwDif3Q2mAl7lkz+Y8NTkgMGAnfrBh1geibhbcvHSy5cS1kh5
cWroAFQjWF7iFNSm9ONRM63hXKj1IUnkIW1urPk8hmbr5UWAaBTmb0nZTU+5Hk47fwwDljuKTOO+
l4dSH783k0lDRdFe8hcxF+NJWnI8OQNWgN7nUlfTjEu92ep5+Y2VLNtXhBwf9LA6BbLEjOSA88sc
+6bN6ukeyTE8TKIbXH7a5VvINK6vjf5l7Ag/zFXtWUbsuGQfjS3PYmeNJ7i7MsN6WJep7lY8f9HT
ZXecB+SKhoaunU3TiquUUbYFAbxmWRP3Saptu9jObvRBeeBYYnk8JT6U0G5cCi022YDqUVRFu+9z
1ON84qg45SxDkcUJtLbkxp/teS1FHt63Pv9Sgu8OJibybZSZ8mYyonAXRHwpZ9U4BNiPf/rl889S
aPhATpd/ApRh2IGA4USvZTzbVPNbY7bz2dTyaasjpG+VthRPhAfd3tFektx37guNHSyNOvpN3m47
mCOnFs7JKegSicELWBfagHW0kBiOqAfDYQD6/flVG2bfi9SRrhkY5gGMOlhY/VXBIHDAmdgfik7T
2WIUXm/3Xs2NdO8odB9NoqpWFRWbV5+/GFL/ESFW7gAlfsDRrO7w3SHwttMO+wH7fV4oK8/COVPT
9jZDmeUn1lzLQH6MKvBoSDavYsiGvRzTnhAdPFeBKQd0hGyfGO+Hw2RiG6jTK0mXKMszM/q2qvK7
Nu1v0opyq6Rq34LM0TkwcdVMAzFKvZXiCkHoNQlZ/EWQaw9JjvTWZz7Tr5GpxtTMykqUOu6dBDNP
Egn1NW9bT42G4LsixZuOy+4i0uAsqzbbW/CeTwaLvQclwbiWWcc3CaR5SagdsLgMUcPUXZ605kvN
SCURoBTCrmGUoD1qWqDeFpUoabBhhplNKTXgtiXLY4hhUxVTsh+kPx+65ZfP3/3rS73XtF0vSpSX
MbttgTYm9o2dA5ewdfuM0c6/wcjg3ziDSlChqMVe5qDibSqJ9YYZWfAixHKAjrGh2rW4UWZxtdDp
B208lmq0wWIarJlFs/qF+Yz12V8VPiiZoY7TwzjBODeobOEsZZnuUzQp9T4MCRFMc31i36Icslwx
N3mKd6R2tAdrSnuGq2HtjQyuF038wx7dfjQecPxyztVq9oPTU1klKUK841olenY9/kgDleQYLhDy
7cPB6QSGC214yqmAeQTZcgt0kbi0ydGfMAwPAdzAQDW4hf0cf6lFb9xaT2IHZcqJ3NkxsXAxM26R
k3NZ2VcAk8JDMoYPE80uFyMDkBtMaX5Q2k2Q2vG1aBoqiSDwlVVheFRmsBlObJMEhrKz8CwwSlBW
DlKGad4q41OA02cd1f6tqqYJZQBiR3t9R9B9Dva0klxVrV97VZddW9wSTa7r+77MbxFRn2s91PHu
508dT7m+J68/adjSQYeW1jtl8e9EPseNwmFkj02EYrzMNSo/4Y42wHvzB+mo/oCXsZLQahC+ouxG
rXNeVzRt2dLAWgb2v67SwvgIbaCy4oOKNOdG4vnaxxRLbqJiR1tad2vS0HDTdKPrm1N0ByWKERFH
gi1FwSrurwhmRdz//UtM0DAW+MFsQF0Grt5Jcz9ZB7u4ZpkV52kwku0YRQ0VNcpDUBDXpPLXvAna
yrzJ7Ga8rru3tpQ5pyet3tVLnUGOi9cDLAZ4ZKrugiYqr3jCt5vaz9cFO/enJfx6lFaarysl1O8d
obp9jSOoNcf6GgiyeSAakXp4x+dHs/BActN7okbmNY764JZD3b0195syjvFkF217kKW+lDAsCjjw
YWlNGGjbuX3J8mFcRwt+u2Occ1UJZtUdWQs+6YHS6sI5xURHTpDlUKOAqvvqq64IVFvZgpPiPOsV
HfjnUTVMb3bweRnI6GvYDNm+zsP2Op/BzTrzLvWj4CbtGVhawGX1iG4DUC3mnkdEc28HpeblnR0B
xJb3YympI6VSJhwPeRw2J+w7NCvSAOWRfIk4UrKhz1B17ARro5zw1UawJZNonajx2dfz/GgqJA+7
wLpEMnCTfjoWAjYK5udtHjaHmZdlFFR5zTvNme6r2VyCNeJg2MF0SCLVS5pGrikt1kjaxRSIDY9c
AqwuVumZQTZsp3mCpo9bPekpSzEafWJ5xFjcl+Ub1Ur9ZoJthGRSeXEWPcfGte6ktpekDN3GqeGc
pQbNxpT13ucq9JxhOrbkWc7BYigYwxblApe8xuhT0vTa5+2VmhKJ9LEaMaRpX/KRxhs9v87Zuj9I
0tmKaZzSnZSBss8TOeAkp7AEvt5t2wD08f3W2snAJ0GUjUyPZSFOQS2eoaavaDqMbtrRPjSjmjxq
Pi0fGB2LnR+OaxVGl8cDAYP0UzK2lmfgMVoTqOTcprdstbvWGxE5P9ik8kBkK/JgDva46UkGXc92
BVu8wf+U0FMV10G8d0ZbW3zh/EUAE7YYLqlHUvZdp4nDLFBSutBYYvHRzpqZcFvTMeNIhJkipOgB
eLFgWN/eFfrwPSzN0StnPfGsEj7Ns9EYYlc1sj1+/sJ6U3UUaIatHdzWRsHG2xcec6jwri1IK5dm
yeMk17v7KbTXYonTZkC70Jz8/M6cOnaQKif6WW9PeGvq3yQtvySp/+j5/ZL+EGOXq0XRjvvoMYuf
ggGJsGVjgndu2ApoAaQQ4hddS7ypJ/bfwPtV1zhZvllcMZh2yNgA3LX+5hz/GP/Pn1etyyXX9K9M
yt9eFThdOt0XkBl/569pq4qCIpYvBc1kvFK35fLQRiR6bA54Jy4GKuKUfwfSulJFsSrnYlPVt+pl
tN+KbN9prnGrXxlnce3c9dXluSL/w+BgP63jdhnAXPwLYbnb6q3uDv45l/C4HsVz9zg9tvftjfT3
QROs3k3zRCX6Ki9XXtbhbvMGNFhCfyvIeoMXlXgnSQWuWgs1MzzXhXe5UNztbNjOUXfEk/03gB/K
if/wmWi4xzVYGqQ8TU7Iv34meA301nbMbj9f65dxOBL4qItr/kOakerWEtHPZ9tLv4WFFrSPnIzc
KwcxSj+0jWbatyQV4K+x08N/OK3OTbqJEQ0vFfJhh4xo8/ls7EVY5FBnIu/KvRldRdF1UHF7nGlU
pKGOjYBLzPs8Jx4v4pmuyMFkCsvo/NDHD5QeqMCMKe5YTW95nm4IWOcbaZxe4SNhgJVbxz4fVcSZ
U/QYvc3VWTwXb83wFtv7bt456obYYLZiApOoW2VXExuxCT0yfV1VlEtnjz0b0BZv80XpHe9sGZRi
VpfAdzErUTP2KD4a7Fc/lm+vXrf3za39CLanv54ePMSyR4YgJ+OSxPvlB97wA6/vA/K5j92lRkPu
6NHZtWHJLqxU5RmXB8TQNEbGTnZzL3OqMbv83LbxC9T/dXQ9oWXaaJr5ltLJNVYqtE7u/ADl00EB
vTRooSGaaMK+j0qRrYpWOj/krzXaKX6mdXIdXnJ0zx0r+S49hyit/hU7GT5n5V6//SmGcPO3W+fn
hnv9k3v66y2laRL5gGZiSfbg6y3FPjohFyvafTySKJ331jQd7e7Bfk3j19ySzxtW3Gc+lrfpsbkd
rto75s4P1MR4OP23nBdCtDUmULzBi2PsqVGkVuag7fZ8O6gKq+QidjkK3T0xMH04V+h2KfpdBYyn
166IaiclJoh1sIuRQfXHiY5icQoRFDC93pcvc7ueXoV92100tMIQ3+eFz24FTeAiFjXxzkJZzJLj
/FShNbasyAmLxLrV9TdJuGudQiJnMfHiXlNWSxMyKOdiH8ctXhcMJf1DWnhDsReLyHlurav+QX9S
XizjOgMWdCnu4tfpKX6AX8a1rV1XyZ2xVSSMLMvG9e8uecKg4dDg72k8z67rc4Ts2iK/GjwX7wbK
ysMVnCCfO+nJunXulaN6SR7j9jD8kB/ht/SbXR59bOLZHVtOjqLfCL+uuoN1duy3TTtddYfuXbVe
M0SWYW8Ou8gbEI7Lh0A8wAvOFkF5iRmt2vFg3lguHYfIUt9aBGgaWdsY080Gln95zh/yB/82fFD8
ncYSNBKPPNhsj3Z6ulQOpVDuzCeAPsubly/Vk37L29UQ9A7REwnAAlzhtidnnRIKIJV0ybgmzOfc
Yo5p78q9bVOrgY+Hwc4qvR9oBX0exG5YNU+N/haeq2OGSN+xKr8uH8CU4k6/KHc+WTbD1wv6XTos
lEgHbACxt3Wij/dpZbyklZAkPMbkKkB5MvIIB3w51F5qBcHG9Cdr3arGTaT2HSa9OXcdov87RjQ/
FrrrQSmaeJdl1dokg7ULKSwhjJ3L3Rh2b//+JhJLyPfXe4hkjCrJ8ECbpUX9C1CHmV8oqTbigwh0
TLIVImOvPyJpXPsqkUX7NXhr6gL/v8FVOP0IKwPI3UqN5mwjmWiZz/V9ex/3+HgxOfPD1M7Jrh5a
yKC+6qyvGd8jrPvs+Xo9IhUypHCYxprzgaRtRa+oj/elvpdJFd9mNSYJqqGa+7oAcQHVaOP76W/Q
JeLX/PHyHBaqpRJVhSxHDEn9sjuoCVgbCBbNvhU/sFSZ1upcUf0p0Zupitg3mb/Cu6yHzBlJ2o5U
f40H5U7jaeo8F7f1zXRloV5b1UdbRdsQ7mjByjuw8la30C5X5qm5KOjfhYpExEg5/M1D8wt0/e+v
X4OzSPBKCsNYUrg/oVfw1Ot5CnR9H7RypdyJZycvvFn86JmjU2SU7CoUf9LQlpc9Fo8QblbNY8wh
juo+gf17lmv7wIadOoeReCO5HjT6kQDKv7+u/uxl8lgHb25CbTWANP/6MvWs0cqiivK9SXXwLsSo
ZZ0DVGBNiZNdUffmYZOHD8I3xNFwGOoepRmAVoueziYRk2OgJpfCiR8NlVqTT5maM6vhqjV2lioN
/AGXpcmoqIlRo2LT+A1z9gvq9fNTNh1DWLoG9kHlYvz15QcETWNzNtO9ztiMMpyK9P8pSWbqyFlF
2CEhVI/2Wcly+0wsaZ8xKT58fvX55zplkxEuRdge1o+uq1NMvjkXR6Z4s2QPmGSKeVuGTnNFQcUR
62i1VQmk8XDG3272ujx+/q6UsTwaqrLr6B7aY0AyT34zm6fP3yFZaRvONy3n/f7od8nE1tJKPZvK
xWFRlEek5WbRmIujXBRn+CfN68DUpFjUaHXRpVPOS6jUsjaO6aJbk3haur7jh2YnFl3b3PfZG5j2
dqOy/SxLUm7QVRlbs5HivGTjTY7wTDjsqCGPs6tKa54iSREOHu7hfNIH6mDQ2UME93RR3rNFg9cX
NR6/dox4g0LfLVp9s6j2kMegCCPks/Zkm3bR9i9i0fmpNEL07xf1n5AMVgBn8QRM299ctH9YDDWN
MLlKFYDGdQv248tPXTGCFptvtBfpS5VT0aluG5spvt1oP9jr5S1oead/naakuhqUE+nA71jS9B43
sSQOYVz0tErZL0MlY2m/03KDLs1OTa9iMrSeOYDVVoOwuw5Q3+CXX2kxo2dfD/31Emn5zZv5w+aa
vTWbZ5OgJWlL4Xy5A60Knl8QdOFeP0s6qZkvjht2wQp4q1Rz/DO8ZLgherW3ukY9lBYSuEgbbEOC
mvJQpDdR57b5U68bjUvL26V/YEfxLl/+uZP7/5aq5RD2UZQA2oKw/b/b78XVW/a9+V8QvdVUjSfv
clL8n+O3m7dv9dtf3vJvf7l6C97qv+zeempXf87j/utv+VsmV4q/6riiVOCR0rAWctQ/MrlS/6uj
GSARBIctm/EtYLa8qNvwv/9LV//Kak0k1xQm+otOTrYp0Jc//4kqwO2phgp7T1fFfxTJ/fWiXDg+
6ifGm5tM44WoX0587F71Ufip7w6cNE3Et6qA1GqEntawnx6N39zR4gt1ifdPbwDPer4pdTp8+eWO
zpSyKM2G4xRPSYcc2giXJh2fGma24jbUoC6r2F34bw64wkbHG2AhtqcIA3ymIgsMT47w6snwlsSW
iDhdxWcpp/dQPKMT8MDKIBPEG6VhIxCAedB3P/20/+yUsySU/7VBW36CvAMYLTYPU4s09Zc1yS+j
wrGyyidaz649qfY8HtiYG54SX4/KcBffDbr0NAL1s0UagmCjVYN04VhM29VGpdiTwHFs8RI76J3d
kx8wmyFjn9AV4ZtgtbrfLDzAyf74km1d8JwRFj/kP/D9MkbH1EBxhm2QqrZ6bJB1jIITFKFXRe6c
vimvxzBU8UvSVVEz9vZSvJ4jHYE1zouXsWB2PVoYIXBSM0RFTIiT3tjPYf4Kwio620QFECz8ViPS
hPPG1ZRhWBkGFX0S2CjxacjQ6krkw6vu/xggn0M+dvvCwD+GEox92WowbZCqysyV3kESb18p11m1
LS4hvPgNEI2qmDfWsyb5ayZyneZZrRTqs2KGEvnGd3pPedfJJEKJX00gYt5Mi+MIKUu2JQA4yEd8
Dxpz7S/NpoqBWQ0get+vD211ywW3GTqw7vU6xGxaj+9VNWwG6l8ZSZ+jftwC+V7NwkQzJo2MZEFT
KWTEgN5IrUyvEiKExiAOJRFX3dhR5LVl3HlQTMl4x9pnWNC1pr8uR7lnok2U2tjadGunfUGF3sYX
uTvPr6oQR7Wy98uLyiNjq4Ymc1ao7OaETEILeUjo0sCV42PK8BNXH/yVkhJiEtL7LKNrsk060czY
ZS3Ojhpe3tmgvj1beGxklj5fbSF91+db92pwJJpAyPRpuVdSIoS2AcmftwdfbAVzjoQtc0KGPvh5
8fFoWAvizFw3jrOi2dUxZ7fDPWs378iPGwlyR4bKSke2i6f3YebzLE8FDCCLq78j7Sz896DyOZT2
i3DhxrPcOBy9Y4769RLuLblZzYDzb0yM9t0qaJ32HD5iMvCN6Tkm2nx/rVXvzG3t4LqSwT5ncBtF
9nrg7ZlUvcMZcUtD3zTORRkol6bvSInuKA3bKci3JTdkXDJ5Xc+8k55aLMN4d0ww/EZ/tiluz4OP
yuKSwPRvGOhmJIZTHVU3IhDKuwJDus5siVdgXNdl9trMZONT7J5GrjzairRPUeu/ZmWxtcZJOUwV
YDTJGTib8hApt7oMjpZvtcTkkw64fQjCgertimWaQ2N4NqfNftI41Y0dRg0zJA8JwYO1sP+R9WUc
YlSwt2bI5l3JEkbeI1x0SgM8e/QXiTHHx4gbYK0YmvkA83VRIt0iwMEa6rMHWHsnB+OuInj2UDYe
ik+/t/Bool8p9CGaNfSlnrsvcsijN6H/Ok4gfy1fOSeN/DDCHhaan+FhiDJ4xKWVrp1lQpab+Aix
hym6b185qQn8SZTNnrbB4NAr1r0eszTbyURzstXITQxziUSdHR8mk2EAGDcS+r7yMlqjfZFmcsLa
ZD0YeYOpv8ndKuRWdQaapguzfekde++rTXDqyqeQpu+T6MR1P+CuKIU27YKkogpN68+KkTNctsvX
z0X/P9oQ/Y8Mkf+tux3aSxbk6k+Pvz+wRvBBvNVv7c+7m3/+W3/f3Bh/NShDMizNNKhEYqvyj82N
Zf9Vc7D+2JCfVPtzn/LPzY3xV0lLHLN3qX/+O7yIf+1ulhkiuyUiOJrGpuS//kFC+fvDufny9c8j
ya/Pak4OdLOo2rK7gSEnv+w2iMz3VpOO0m3NkEWCtPz05Ez48NhT/xaF/OUhSykO0z/IJM4ClaTm
4NedTWOpVjwEueVOA4ZwphSFV0YzpqqkTdJtkJX9b/ZSn0Tcn3ciy3dEAwGFDlRFsKf69Ts62ZzY
XeJbLl1TTDTLTE3DdUd314AILvJNh+/nKQ6cbEvPuqmt5qATi6FFaNvc6COKt43gqFW00mKHU68U
VkuivWNS/gZh/BXtC9aO/R6393L2URlufTn5xPhJJ5ofJP5gxTlbuooB32ptACehLE5DO5Xpahh4
0EqVE3Ffz+ANFX6ctwH+V4gOY3ugVKf48dOl/Gc7ueXbfv38GFerchE8uBK5Cn+e3EinUkuKEyy3
W6hgtKwAuRr0IvxhDXQCkwtwDiJP+qOaxMND1sYsk4G0d+FoyCd9CrLraVy63ss9RJtLrAXFwXf8
5Oj3nc2KHTnJN8Wop73Q42qXFnrx3gVasiUCWd7++3fCKeVP3gozd0qDBLk2/vfXt4LVc1AxP5hu
2aXhqR6HwAOmhj1VC/3HYsqJOqlpRQ113tW3TDOHb7k1sKVOs5yhIYfku3QITyqnTXR7nOmZRS9K
F7wpJGXXRqztAjW+LmrcDjz5XLioI9hUTWWBltF5rmd2C+F8kxvhZibsGBumdp9QYN7m0U6ZJB0s
DdVHJQduas2rQ6yr67b0F/B72ALws4/oo17XH02g4ZX9lLQUucUVMk0x6XddbR2nPj+wJ7mL58lT
uoytJu2GlekVWA8j5v9DN1xFXXCfR7etDNODWpJ5r/xjSuHwKh/a6zZSnxtNjphb8Oo600cAe446
4wH2Om2H7C86e0Vv22NRdseQYR2Ybw9Y0nvmp9/gyW9QZe/jqjk2JV4bXTuJgm4OvWDrCj2mVBG5
U1U8VMP4zVpqyAayHptKS07z7N+2Ct8zzJjHxtDx3G6yjZWeDsTgus7B5thEbP61TpRH7PzzuY0z
7tOQs9+RNDJZJGhoLQeiAMPHb+iPy3L/9R6QkB8NwXFMo5T1yxpSyqxJTCx8ruaL7Lqg4QOnM+UF
HFa3IhsB4iKy3zmAfkdXWk3SuAzPhh9WldbvY5X1EP575ZujDslOhkbg4nJmB262WYapRZQ3RVg0
u76nrS/Asyi8oMymb043aHdd6RdHJx2VZ00kwUmdp3rbGZmA9zyHpgv90j7aSRd7bWepv7th/uTW
/xyyCx0J2GQB+PV+KW217OVy6zPNmphw1nDgqTI39qAb6xtlAuqGZqmjtqTzRYdTfMpAeQAilkp5
0GbDfkj7pv7B/kV7//f38vKBf1mU7GXB1PlZWFgulkfaT+NkWu4z0LqD6ZKYMNeiLn6E/bSvVChr
wxj8ZmX+k4+B0eoyYlM5HvLk+vWbFWQ3B3tqTRf6tiSQX0t3wn3/myPzn76ln77Ll8UJv1VkNYJy
vERE0XcVUNupIfeFhmNaBYmNfPL+/Wf4lVK8fH5QaZkvsIewBQzZX98XV2hclnoFqpNp8nG0E5DI
ZtPFh3qazUe7MDB2DgPpglDP1GeaBfMbJ4fQ95+/DICujFVsnnwGv/31ZRQKzkty5aarBH648gH7
6maLjmuhm88OMF0YxsEmtZCs9Gx4SGBi/eYVfCH7G9T1sJdi6s/zTVdtufzzn64mfQw0e0pjywVz
hikdf2J3xlkcAgmhhAhu0bRxOniBVtyLS5XAlqQQrPE9wBF5+5u15utmDDK9ybCLx7/G/IQD7a+v
ZYY/VXUWlxjcAarv2izcYLDVN6FWit98q69X3OdUi6c6yyPTJjSPX79VOPs0Y3aK40r0vUObxnKf
USV7Fo3f7fiUnN99zjxj+St/vm8ZC7GisO9jFZUmm81fv+WggxrKtIFyGAgFN01gkKD2x+FZiYqZ
AqPID1wsXDC0imxqV5KAZNC29SaZNN/VoExs2VukrqqPAK+ieti1CWjlBkVi3TvJfCSJgFpEsBC5
iCbXrZ1Nau8mDKhggqTRh16m+VPYZPY615XW1WbNOPiBMz1OfYlaqmiJRqRVZPqmwOZ6RnUIv/EJ
hVetUZffs1YYL75RWR7dk9/bXp0+8FgN7qD7GXwaK9uWCjUGdTEWBpsDDJkOgbRt3EamO6acoyvm
01ezaeQHQ4Qmm0gLuC/7Hl5JbBDe6O3wPgsRaRuR2Ocsk0TetEDbtCXMf0ZKSxZhxnW7ykcDYgeQ
IvlQNGGCtJ4sfRR+3GbBapRxfKA9DNC1sMi2M0oY8QmOjgMVeKR2p0N8Zx03zMdILxJvMCbyF0w1
vaZre5xylfZYxbG49NHELHHBB38YeOgwGAhKVRtVpz8m7bwcX9i6T0pEFBLnzcYpCH/hGI922pya
N21vZ9/oummux6YJOIKqCbIyqYtdmZpMUTm5H5rU1p7zqkzxzTej6Q2tMZGOT/obhbhJvRqDZcLD
bIgAfd2rD1Hb9BfhT91DqQMqzjWZ49cbC9LJSnKllFWwm8dauU1kHV11nOTx1OnqRqsyuQ0YNF75
s9K5yTCqbmfY2pvia/XerKPuvNi6NtjpiLqWk3gdO/pjjUlSDRygLQXT3L3Ufpi7CiWdGGxkwqYq
KT7qrughKrT+DxAx1WNqE5/JSRCSQFGeOmuozjPktjulEP1LLar2Y5wAHJFw0yuCwqYRU6cSwN5Q
IBS7gya/54OvHP2gNj0/GPTV0BK2GrHU4UPmsj2HDD4f6ikdN7bSp27p5xgNqW85DWMDbteprR0s
EHsvGxDYppi0teGE4wsC+XwsOxBFEpSgq2ooXR3HjZO55MrTemC5MZt4m6RM65LRp3EoVlFcFKP0
PV0JAEaMjo0E3iteQr3Ntd+UZPR9hSVSY4bWpmG0jjI8HhQjJ9u8FPP/o+48litn0u36KnoAZUcC
SLihjjc0h56sCYIsFuFtwiTw9HedunGjW62QIqSZpn/UT3eAzM/svTZ6KBWfoDxqeNCun57bMMlf
6Y6rvb+41ja0+mSXhBPSwUG0d7WJ0y2aqmat/n5jG7xa3SbjpVUBihS3ynaEWBETJMJmE4SzfkmI
v8Y/NqeXdImKB+WXxW7ytLmx4/4d6i1qMBxBx9ox8SFCHb6NKlxa+HcMwSzG/u1MjHGnoAXsgdJn
i2Gkv7MFTotVxF/G29Wxp0444RJ81dpFW9WVcESKShX7xpbmzpHGWhdzan/ntYge5iBCB1B0LbRE
TtyZnIjWR/cS17skZziGfjAD6osEqU+wCbXSxp6UNuEdetbxdizLMN10g6PvE8vgOx2Lrnefx0Zo
vl2f2AcAtNVdPITJvrcna51MDoG4Q+7BVaSltcnJEGIrx8H9rh3B+2OlLcpMt79RkQWsq1OfkOLk
R4UD7T4XEryybfkfSSi7A0Fu6StC0Hg/RBxxZOhOI2QbkZ7ZugAzMsGyT7wm+QxZg5/gBPt0DUt0
MsD/9inZmTe2JFsLbaoozovTCryhubzVo4Xw18MD8Rz0wJo9gTzct+tg32ex8+jFeXAGSzGTP1TG
n9IgGWwqk5/Sxm3fjT/AUoaA/3jVXZwF2/VtntjZXpHB8SuoXUyvrNU3adWUT3ppQoKpVHSnraC+
tX1iP6u+it/dvhvvCh7tDzHTtQ8sBejdR7u+AKCabgyxGVsuFBo2i6aui4riNmgntqeW4aAfl804
18y2ZbMvUY5CKqNOoAmaovNoBWIfJolFX9hQGlb1OEJXE0G7nwrcrFnM3NMtHHGTqw7jepinN4s1
lxanPHKdaZD2s590jHArF9+fCeJV2OaQi0t5zaSo6+rkazkyvgZCZ45zVtLLLXFefVQIb/jdi+Wb
DwsfSIxRpNxAum1us3hcgFvIt6oC0EaqKKgKJtsYrDzn1jjYMrZO0VVPYOOsbTsk+Xtepv7P6Izy
ubURZ8wxAXvtFPj7tshq7sI8ky81w8k7+MvxC30C4mfL68g15hWKV74euzvUo9Gr3/nWY+eMy41V
N/5JRFV0a4zR+HRSWWLmTJLnCVTRRSAJ/+MYGf5mbFydbCMYwpZRd7aiQGzAqAGDx9Gw3Ol8Wj5a
48yfDpKAh0BWYkLlKaZbQ7jP0RJm2RWtO0KvssxNMRlWQpkjmjNBMCPaJdX/VExckF8G+kBWSnHN
F3IisNJVfBv3kPMrOQTvtC7RbVQqQKzKnuSZd0muookR6drVCAFAUcf7uQUru6py6pMV7BexyYhy
+cictHodA4NGecbwDWzdRR6wxeXgPk1D75xzrGQwJfNxJ8up3DZz1MGVjIT7oaqr/KW36nec9GDF
ylg9a5mOl6WLCd8se39YJUHJN2XPBGW7EURtFK1Y7g0JeWqzpCY70Y/ZBFBgSOnHeDr2djrr1VSi
5Yr9fth5pBkgAyXZhTnLgPtnZdNj3BDGAmzcnVpuMB2dVEVu7lpXAlKVycvfquxItBVD8oO2b3j1
IxGhmUhEDCBqDEDd9HmCFyuMnB/CCpx6n2uBnY09wDoLXGSZXZM8pSAz102TdqciSxiSJGOIozhR
A+E1rHizkpEK05BgsocL3wshIpOv/NEskge6m6RzKOU0/cnbRX+SdFKtufbqXdU0/iEN2grgH8or
GmTbbGqFLl3piQ/JjcIOF+g8vVpUzFuHnde66lg8IJGK8keyobtfjSRDRtqK36PvpwvpVfl2aNoM
01y9TN9GEvQABsZLfyzN33ApBvvXohqrWlmhwVHtlsM0rnIfFT3QjmY9L6N96Up3XHZeN7ck+xFN
c4Rs1u+yUHIhpqp2yKI0LIKEuYbUW2mp3ivL6V5RzcizU7toaSky0ueaypf1zmjwo1AK//R23vzC
5tJelqhVe6oMMKtm6Oqju0gMJu41WlcKb3i2ASz/kAYB20f0/ObUdo8ZkZifs6p7tmQtKDUbGgYK
mu5PoRoWasnoX4l25Q9tln035LbNuYnBna8S/x6QfP8qY0BRw1S25KwLyz4tRBOtm0yEL/6CkaQR
nXQ41E27ySOWhYXIm0MyTuZlknOabfJMqV2QSg6DaSSob64A21ZJfgAjuNwUfRrfWUvcopdqkNT4
cgneEuqX22Ty9UdTWPJNDSb4HWPhBbQ7Qi7MyREsIEgoAWlmrqBbZkrjwU3S+1HH42uumJoYeEtw
OLS8wLVMLrPs2gdr4abQRHGyEcObQU7CLH+aIKzA72cVuXo8WQ+J8NVUrUZ4lfGms1VLElVXwe0x
gldkjXWl+2gzgn+2jiRHeVW3CxRbqrfsZbBcvK3Ut8dq7pBm+2VJ8Wq1cJf5sMO3yQ74DGWMg55N
j52dg0XatxNjO46TKPB5HZwkuJ28nBVnEpflaVJsJ7eJ1WfTzk1V+VzLHgB/iSLqzXg9vpvalPUm
idP2d1GWcPwLBE5yj73CcjaR5VLHBU6TR1uYKEwgnSTpscw6CSEky4yxf7Qtyks7iNpHRgORgeM0
l5pBgyACYzmFc4rUdIksf2bxmXfTJseGIoAzMZEGrjlega2Oyl9TgCy4cMa6RzHrtVm9FlGCwpQ5
Qcz73FqHvp1aPPcLbAMinkwybYXfWFsMdlG5qaPazy+MFkht8lLXYwURI0D0/PElinR5J8JsfoYO
0F+aoh22YP+9FRSLkCCfHlRuRecVs2yuzA3sP8Kp+aRuoqlqZgxA/gKpAmjZDQSz5c2ulP5J8DTf
9uOQGo4ky71N6FMlvXw83AAgLzrEB1pVKKrLoCNjM56Bjc6GihBnxml0R3nT+VHpH7hJWQy2Ud3c
ky6c3I+h034EUlPJ+1MbfGVEYJcrm7PprfaIFNj6SRUc+3qMn8jnM/dLQoeozUIyEsdT+KIBe9Ph
pPFLPPDEMcZKt9JLa3w92VIANZ/dTxCvENBsUionuN9yTDGpKcT30qo//HYJVkL1Zo8J4Ar7CMME
ztoY/jGD6Xc5PexpCPr4kkO4q/CjF7gj7M4UB0DAXPsllOxu1tgFBz6omyHROIhqDxV+FjkvdZv1
lL9caz8QzT79ydKnTLXul2eTyaQD+FTTRMgBYXL5YU5T/yJzRllcOlKHaMCvSfIjlnGKIsdCgdwt
Y7kdQlIYlBkX2Ll++yUjZ/qU5H8dihbGOpIpg9OAHXWpu/hkz0TpoctxdoWMCHRoMn4qPbc3AayD
GzvzxB/c9mm8QhlpDik+2Z2PIxg7N06dFfQb+bsvmvpErDmAW7cuv5i0I9dQCxTcIUpr8VVkKYe8
YqkRPsophei48Cd2VkiWJGcAy9hVqEI67RbkaWjXrL+TqHwLQoJ/cmcadrOCv0DodEVDBf3iMRhQ
ugGep2cCOB6TTUz+JSJx0WskEO2I0AR33o+vkBrbg1VckN467wF12El3UNQCK+U1KkS2Dab5XsX1
9xi6BEmAB5Az4FdnqsF8yAhIt9R+e4oJIoHrDAIIIQt1RKQ2cdyHYHvcdqOE5p9VwVXaD8qIBrLb
cpVhdGjKES50Bm+4qLBVTVzdPO9D7txVTVb+lB1cqKjX3Ypn3n7uDVF+0wAp3nOwdzt+1F8DgAhe
LeIWWXtJ3DFDe8fZpNz5VNRji1yv8EFr2nEJQ5KPfT03rXgmJ9IbCI4KkPCnQh+6wCH9MMztbS8s
cQ9SotlpDt1Vh1/hrTaBC9fdZSu0jd0qeBo9H4mgImauyeYM3k1AUuxk5XycbAs2RhoGJr649gul
fmFv4dE1pu37aHnZWRvpn2MeNvwEMxuNIbgu9kN8oYjmLSHq1RhILIW+Y+DYDcz4moLEG1nY893k
RIQh9bJ5QqW4PAoR+68sTIlL66JlAEgcFApVuqzxZvPLohuyrO/FdonjST3rrcOYe1940ry4ou1/
ZTXcBaGzZlgDWIM7Bc6S3yb1Jc03jK5kE7IvWJdR2b9MM/3WTsSZFe1xU84H1n58BgA+m3LXASG9
G/BQnYskimAc0dlOq8HA0FwRvioeUtDMd5hBolOR5ssTjL74Yvmtf7I6fjrKFDsCBsz783Jdsaxg
AQA8RdCOFLbP1IVUWIiSVT7LmxhH+2ND7Qd73AlO9cxeDCJbdc0/EO09Kt8Lylz1XGKZ56F3wkFj
rHfsr2ry7D+RWOInbynLve5RfLEY+SJrbTlPFfzNkeXNjZxDYOKuby5NXzb7EIH9Lkv6HyEsjM7M
xOczGJBubSdIp6Rdg1aXTXLRZY0ZpXCy8bEqZ/Vndu1lG6fueFRNyB0VDH3Hs+sF/d0SOeqAsCy5
Hea5f/XSMHsoprp56+yZdmly8useoQ5APA/OLJE/RdEeU5J7BFp2nUfr/JafF/h6FMuHTEBHVCgs
7vuymPajz86LXhQ5fpKFBi+X65EPYKHPky57NODKH8Qmqh8ej4COPYM4RLOOGX2e0+nJRUS/koap
7W4KKgDqtKs6xhVbNceoDfRuGgQaodZN0XMkOXkFM9AF9i6/XEs4KAAThn/gVsZNkbpfNdfNU8kQ
+YshQRqN6w5bTvwJimv0XwrSpG+DhU1KvV4WGF/Y1lJKC1zoAXw/WBgEUGKHQK2+9H8Gvy0a9G4h
K8nfcQ5l6sO3GZveBVHa+FsqI31CVIy6PRARbndXclKpuETbZlrVfWMMVx8T263bJjJ41X02i50K
B3AOIW3R2BtC3JQK7GGDPTWxdmPmOR+ill676+BqrQd2LpuGzpIUKMX5qoRrVkvQJ/AXsB77s67e
3XiKvzplD1QcdctHbwSY15xw5xWD8ITnSNan0m1h4WgbB99QV3oXtoQ9aTVquQ1aKD4PJLC5jIjH
BaCoAh0c1MniMDF1meMQ5gFhKXXaS9/DjIqqujwXkR+9VsPMipXRQ1VzfdXTxgWkesHL3v9KyUsq
1503m/NsNdh8CB5RO5sQ+/chE3LvtESPRaZvglU76OQRO3z93qKG2qmJwUnKYHrNWfQns8FMhRxP
TAoIBpn1FS/ukjiM/7nlqknsF5O5zrS1My2/wBhgqyjmmN+d+cOurK875pZU81XoifxcDzgpyZ2j
bdhV16OyBLN278yJ/p1a5XSm84zu0jGu2rUhGhUoWpn5CzYRQ6iJgRLkrXTrA2nwhkk8zmxIWR+N
FAfoHq3+BCSn/AUBY3nN2pSBiW2y31E9lSUUv0hsJHyeU+Rxt3IYxvfp6BAp4k1DgaoyaAgv6GsD
qRWl93cW8wRvSgAyVBN9kO8WopbMTpUUue3M9Ukp4d/49MsvtvF0R7qDveDutZyGHwDlPoEJ+UMY
h9cP0YW+tXFBAWQrhTr/MY8UZjYSHNONnfDYB7kE7FPVA4L/OcveJx+9ZDE0xTOCM9goRNo80kbR
eI7diGq1jMihGaswlvvWVxUxjRaS3FkAp2IVza0OHTcjhhaIzpXBVo+rBd5ruuppQjdDNJH3Rdud
fro5cgTgDYF6JwVXzCtu0orU4VxH93VuePGC0pzjqg/XE7E5jywZFtiAab1NFjPul9LY94N1VUz2
sFyka1sXFP3dqyw8Zxuwp9jkkHd2lnR4/JJoXoc580teftJmSg+Dbo/tMWQkQJslw21Zk56Fv8m+
zV3QYWgmad3zNrLeSkIyYKC0/o5BOaa8puTQGitxS72NzE/a4ybvyT5YjWmX76erzWbbxwTXbbo0
cZ+WvsXTJoW+Gfs0wFffwBxk7rsfPA8Vv+pdCq/aPpneAuvTJKm970QxP2eIbId1LR0/25NXBnps
lhmSR9JohuLOXOe47SDUozsGtINdD7+dWXMsV/XY2DeAtSglyLsJPgsZsmYcpCqgXbP6O+D3yeUV
nSLm23BhGbFvKLGHfUQWDrdwDLlf5Za+OH+r5qkMkqOVUar7rdQzegbmg/gritmsBbF+F8ss4U01
WtFBUfL8mea+fqxtXzwWU9OJtdVb7vvQ+c6lzF3vSTW+/OidSbyp0c/guBEgLhcPXxrOkrNX1RRO
ZVpjr53GZD/Do3oUvtu9pVPd7dQVNb4CHxIcYynKQ+8N1lOIR2PTRDLfht4yP7XV6NLwFs3GXkZA
EU4IARLqFnQ2VMURFSLgYCJPT31uxedYgYfA3wzHKoswWKq8OAypGs+iD3u9CjsOA5FqsRVVON6Z
0Z7RN+dkksSx9yoJjjz0Wob3cbd8d2zg3JUSdnefKDHplWmHq5glXvzd3Pm8XqCS3jxCjT+qRVg/
IPmfFi2nx8rXFP+Zsct5A/91bFYVobmPkz/apDVD077EIzgxlBPeYjH/kjApZ4vyY1lS961D7fYl
J4cH0BBYec9FjDTFJeBhFVCXniWRRZsK79VBegytiYxI3X2OPO5thNSyt31tYK8DR61x/1v1Rk8A
Zodk7mCEEDq7coZ2RNnM1z/OQ+wDDruGUGd6fqQaHd7z2tMXN/YovqyExuaagQ6XwcmVzfhYAzKO
k/JSVvG0l23bfI1jpHfthNSnK8d0x6K9OU16IcERA86OsBmaUjO2Y05nNtEZMIg8554nLgPvMFiI
eNE7gfr1tU5r1C9kJE5rXuB500Ea2sR5NDw4VmzjVrM4vMpY77TUw9ELY++rD/MJ63pyHUBlKdcH
7XLlsILK0vOc6nk/j/28Z9Bd7hCuofoYZXJfdX7BSXc9LIoOcD66x+BT4BPbamtQH2YqDfB7IGWq
C9HruKnlP7j40n5aZwjf/DBM/zSTFAMsuhn+BGf9XrVhsZ8tz7/2TOqgA5AeyurtmzHMxLNbxsFe
jIikOJWz5mmJevFQWaV+c6uF3VJuE7xBzNv2v8NVChhVQO4OhzD9FTqVfUeJSs3sL7CRjOf9Pwhe
n2uGL+W/23b+f1W7Xl05lnd1a/zvvT3/oxuqz9/JZ/HfLt3n9x+d/Kvw9Z9f4D+Vr6H/D+TUSGcw
4SBzZfH/X8rX0PrHVe0BRg4pK5AF1Af/5eoJ/4FS9uoCU0gTXA7NfwpfvX94iji2AL0I/4Bm9/9G
+Or8VTD9U48QqACTCvIh5ypHxePzN5L1X5QfZQGS2KF7P1qR8vGhIv87YCA2LE+BxexCnL8EhRhe
LnqjyZwAFgU4AiicbgZ+YbIrhyiiSrOwKM5+dxkixHG8yQ2nT2HZe53LMlmFqZsv1GthF6914RP7
Pg3NVXsXOT4+Y7iF7/ngtKR8Jc5knzgTDaQMe+iXbdR3tKZOn+qU9cLC4jx2MhDxuujnrRUOcl8n
eXZrgaC6rYIoeqqdmgH1dUJwx3HbXmYD6241Jl52SXjFXvok6iPEdKX4JgMUr2Qy9UdA6UAaTD+J
NbEpHj9lUoaE78CcyNNhgIUQx/qjrT15SdmbUx8Z070wGWNG72chk1I9ld8C6GWFpi+L7k0pnA9Q
islnSa7phhlQtS3pkTyGOi7RtNp3GQ/UJgQJQmJEtGP2ZH7SqKODDjQxthsWoCOY9ljND6bW4i0s
fPVKvNp43+o00RtEFxKdXOKw4Ikp1nM34KJo6v5JdYLjhTanozIlKpx187iboZV9MPRMn0Wi7deF
nPjXlqIJFF7PVbZikTo+l35qHaY48S9+YmUvU5i35BZ4ZXWmIk0+yFOA4FX2XgRdkdQ5SMtttY7J
OHlsCoHRNA/jsws05JgYO7i4BgPLqmxHX3EVFZ27btnipCsnKOVPksp62YJ05TpWBJo8VknEZnno
++W9jnNavIZZSL2qOrqtHFQSNMIi2mhTUgUFGWjSK/LLfussU9wg7UE0UjZe+tHhvCGGTGVxunEq
kqzpsdKFClaK2dlYU4ynslrsCLGpjJbrkBq9qLN0eARIIAQ8mrLjIjFWm+a0eNh575y0pKpI5kZS
ixSD6o6TaqREe1A4cDwCMCykcJuIjB5BhwazrO/SY6u1K+8hbk4IBZjN6XCXFZToz2KYs6c5LRBK
cI1TTNhQHIw338MM8reNFZWf14L22Di50V+lz5z2Hj1xPF5TKZ21GnQFNJvJPQ4z5wcNFWAqFouI
ZAmFq69RegLAJms7omaigQKtihgs6BTgjADot/JIrt+1bnbdnLrGJZA38wCoVt386KVVRyiiCakV
bC/rkCzEwZ+89NXeJ5HqMecD34Jzzbc8gcNxpPA6osLE9F86jTjmgw/nikSwsygbVrRFmgLnooh1
4thZL80Q3gaKpWo1lu1NF/N0L0Qk/e4jkCSBqsq3tHerO2LSMjaDoaaS1fF9HURIgoMgftZKVp9J
1PmbxjLt5wSX/D3pinsEDpG/KjIxndwycQ4MoEJyFGNvy4FcrZPCR086R8NuaqevTleaixEnCMBR
2YJAiZdNOerxW7rsSBgClPf8QOS4jyqNsQPpaVtnJGCRpcyD6kjnvk1FdHYKJ9iTd4bbaVik2MQz
xMLUd7qfGEjb9zAE0U83LhpCCFsxyougKd5HMYRnsiXKI01980U0b7uDGhzf225ZvU0gLKnOHKKs
3Xz8ofqeOJUN4FvHVA8sAvQmnjp7i0U52lezy34GPUJ4ii1THanbkaEy4qDc13V5UGQB3SpsLpuZ
rSn+NicXL3xDqrLSt+48N+63urWRnCA8/N3SBxxZBrcnFFkOkdRTCNtbYfF0HNQ+i0+31xFTYgdJ
9j2y29xJUjN7Dg0yQaOZRq4YZXBQfu3+3Vy9tIW0HhqRVqySo3biEPbTUxsxT5BC4eGxasIdJlxH
bVBUT0XgQnb+lyv58p9X2L96OqAq/E9Su//lanP+zWkhWV3mDlqNoz/E4N9Bx4anwKnju0jXDPwi
UmdRjZTj5OzoS81LmDiIeIoCCT9h2RHpxcrpgcybqkWkQ1EIhxgdVX9ylzCDXlTmxUPP4sLeO76X
+4xI5/mosjzd5QsBQpYS/fdUkDoKmTsm6FJg+x8Vjkf+LPEvItanlZsRS7pKRVM+eMKeX4M4X/a6
MTVT1inaq9QF91IWXX120fhccAizLy0zj+BEH52SDzFy7U0pJlNSzbe1nY27xHWY5Tfj4GyduVDY
1OP0ONF+/G4kmKqltLurMgcIxbKItt2NbkvwaqvjKjhUyUg3u/ZwVlmkMzn5/cA5FRM1UuKj66LG
q74b9r8+Vr8e8Qmi/C4RjNQLAvdo8RmoHBGMdEAajSxZcWFwPOaWUCThJdEIEzUlapEFaKM8MElp
BXd3aluS3Du0aSvUIHITtCb/zaAGu0SPoMdB+IHqnPriS1E47KTtFNs+G6OtT4FfrAdr7GkQ+ZPg
f7POUlTDQwlH7Ky8Vn4Bjkz3TrgwrRzVvA9V6T9PXtScwTi3e80KcAVpu8WZ6iIInIHj2YH0voUW
3mGZk+Yo0EVvZzabZ7VwiZhRJ6sJq2AkzAQT0Y/geVnkmtTWT3m9jXw+krMwxrnt/l5U1gj0N7ve
XuX1HmvI8xr2XMpAGOvaApc12Z372Py9BbmhifAOF9v6uaodUnYkVy8qmxLuT5Tzcb42I5XBunat
6BZNCjCHLmQw8n9+cRCh/tuL89d4LRHcYVy+uqv+TRZb111L4IeEw2XrsWeZCuQTjVg932vkpS9s
utS20XV69efWV7NCjIaxG6vnignClo7N+rYA3RJtpmCOb6LGAm+R9+5yoK+O5KqziO7Abcttsprk
5DfrhCUwiV9DWspVFVjJ0WUBOd0bVfAs1fkyvWoOsMcQxRMeoGbK6vjm6pq6ZamaX+BJTquJU7gD
Z+o4/dpij252VkMNhldXcsf5DQDadRXq6JbwYrJqWL8fEW42m7oR3yyL0x0jPt4JZzQHF50DC+Bx
WjGLhRbNK0AmKtA3YLQx8VgSwsZgsXnhwSArZuRFriwvR4mxQJgBlzQfsDoL+HojQrJiLwnHhLgU
LwxpY23HBysOC0VI7yLY8NjqWMTs0teiED4e1AU1VGJH53LWziWbdXrqea8QJQFNc7p8lyIPYxfV
sk8bhlEfelG4N2nZNZeADcVLBUx/M14Frm3sw5ImpXIdy7nfYqeaL8HU2Gte5msZ3JQOdg6++5JS
jzMB0CgYi/HXdcxzg67TIxA7iu3HQRXBc8krdhDsHm9Tlfab2ZqBf6SA5E9tF0Q3Opu9C/NI7zL6
jvic7NZ7TYq6upsm9KYpbNaHOmm7HzqNAQhIkacnmyXCt/JYIWdUBJBGv4mZb97pZGsswyQ7IPhQ
o3vXLM1ob/zC0hxNPUKl5cmf43S8m69H2WTZabMimLL81bgsHMnhCXHjYsuJk42TNnDnkwXd0omN
wAKzPF4+eVlTf8vC2ol2rlGYWmaTxsVe/z3Lveuxrv6e8M3fw14QF7vSiDseSfXjIuAB41II/14Q
+d/LIvh7cbArQvnx9zppEFrxsnYLZlsdzfEdMKrw5P29hnIVRA9V0y3vKCnUH/7MwyHJdE/ouIPT
3UGKg7A5wwlUl7Z7GeYpao8mSDHWTDDWXz2Y+rfo4NTdVQr7COU8fB+0Yz17Tk104UBezSIY4UI9
RejmTiSJtWUwny2O+3XAIBrpvirkyQum8cyhSDa4h+CeSDFbr8EvMaCpnataeZ5QlxdefWYUDr0g
USwuczZJLABa8zAqK9qx/BASOIG2MWS7GWMkxAK/OmfurjaGoSUPqgrKT9EMw7maGbKuiqTBJmyX
I7vnkiJYkvUXDqRiI+m8mvDT7BEpdfjZ6NY8W8pUYFYdh4MXeXQOycWCnT9hNttkyYzwl4VkvHJB
dTykqUummOPOIxlGyiNu2IM8qw7K9PMvGXTibsLshfcY/Sc9ieyTR6Gy9lYNPoM0z8m+M7sZ0rXs
dfBGaHTHNK1JgvDZ92RyY8Ozj8hm4yuvkP10ELN8aX8EXVc+NUZ2L7IjdXDXjAq3Aqu5ai+anF8O
J3QBAzCoPuQ8mgK1R1uirgqvyU3aGeSyNcQvf81ZbUfruvfDX4Vbu7+L3NcsBPvGrc6z4fUkacG/
rtmXJPjwHT1wFHSCqJcmGUig6C19gNsrYOQR9Nl7VfBFI9M/BaPbFFv0JYatCRIt0OfXVjkNJe9u
HiYx0XXo0efdUKLGPRoXa3s6apbqLFSXDXSp8MMshfiBMgwFqUg9OXJgz+wiKH/H23apho8lcZyv
WCA42qmM/+NU6Sl9JHApDnd5ggU/12GjsLXFIMRYmvUe4znIS5EY2VX7ZRqgEp2sbC0qQ3wKNvJH
q7OS+zAPZsB2QhuuGdZvZ91l4X1GcsFjl9jVnVo6cpDnriGmBa6KsyWWhrlCVaAj3pZBP5CVEIX4
lhm9YlGjD9tkrsv3MRa3Fgd2Ru4Jj2eyaoWjyQB0hrLYFgTJGsyHeW9TD6DFXJcSHIBKS8Lg5FJ2
1TYzqVKrtpq9mSjoxhyoPspqY+dD9FxFffULHKBLBHfSFsu+9YgKBl/Bf1mlbMfLjS0c5yPwmuWj
MbZ+H1pH/6DyB5omer9o1wud66tlJDrTrGgzoBWDcMWNHvCprInqYN49dVllWLmINLpdhsh2MOeI
a95XF0x3VZh097nF8m81sbqKVgq1DHIZVjYUSijW7toiupanhlia2JuacL8MIEeYRs/Q467hWQQR
AyygEXQmdR7nqjsOrazvpAVccQr9mdzHTk3k/KiG+z7Rnb5qd4W5EJGQ7C1T6lffifvvmKHAvMrR
VYPiGrDYrGdewk9acEQKrMv9NQOkdsMvYl8FJpN/XuJsfkVQVlgrbxGw8dk2I1J3mmTSdGnX3OOW
N2heo/N1NgAVWtjhQ/+sXOiY7A4YlKwkzPF475Che9bzUGwDoQzKL0SYsepS0JBLwRfDhkwqQj/z
dLF85TRqUsl8gEPSOdc+IycgDsuEhpPUkXHLzrhO92xxZ8iSfs28NfQaIvoQem25ZKZNJ4srJZFM
7N/YXJ2zDlijsUw1i1nB0K77NcqOhVwE9EfrKVFyWI/4Zds1sRsKq+DMUnUTqXr+1YQUEXLIyhfT
hu0fN58CeqawenPdPHm1VGt9OrZfoDEU1rG2VL9H18e2YtCwuKl+fwIAbtUG4gLLriKCMrwOqNi/
Rp7vExArfUYAomrefN/9rfxYDysvbNxnHz/1aUFremQKlrWr0RDtW0wQKnhb2/sqrIGj12ORXSi5
ifypl8ZeIdjpHskl435uKPnWsdbDzk0a73vkk/1aoHXRvUpwMEWuzHM5mIGuPul+dYXHSc8xm3O1
gnmIqhAEpEexzPZqRMnaTgtKEr+6r3GKgfwcr6uuEKjVyrOK4kWgqnhkN+rfNf/B3ZksN66kWfpd
eo9rmIdFb0iC4KxZitAGForB4Zjhjvnp++PNLMusautFmfWqFinLm5FXIZGED+c/5zuYMg/83B29
M6YTfWbAUw++28oiGaWraGEgXatwlfwm9sQ9jCirQ8ORj/dhUaH95ioV0cThyZ+USWNeKMrogZNK
89XP98KGclmJnoD6kgeX1Npl8GFhc+MuP0nF1desHkEmRqU+RE1YD0SA6ugf5/H/FlTif5bG7nCr
+Lc7yf+Fk6Dz5Yf6d039H//CP/T0MPwLkcVD+YYc+09exPRb9//7f4UOLCyydb5vOx7BjDtj4j8E
9eAvj1wjcc87PDIK7lee/yBJuH/dM7QhMrjJSQFzyX9HULe94L+GZfl7QseC4nXPcvI9+VX/PUvZ
jX6p66hyklk/hes07cngkaFksIhDFnxQ1wwXfCT490MDW7ckuUdVUrPUuDmn4NFOveJkSp92ooXe
awmgYa0nvS0sgLGuXTU3v+BIP4ZkYAwKbE+NoiG5u8OWJuwVVdfOZ85XcVYK61q+gbhz+uBAMIxH
us0OuDFg1Vh2eS5LWFQQtI4N7joyTNNutpf1tvQowH7+G7XTe2sr+5dNm02PY/nZ9NffxNX8czs1
wXlp2WZNOR/LITqw6fBlXr4KTxDln4FXTljJ5ASLr5kpkrOi4iECQuOb8Cz7wrwNBoRmaKQeU2Us
8Wn3EdmDd+XIvVnR/7AezXEUJrwqS8J9C80iPdeRgkieAuynsOIy4ID+wH/0NK43KxuwO7uISijo
Viym6mFgcrtNFTjqwp8JsJH5O4xw8CNMRlBDpc2Yw9upMkpqU0OS1niDBj115ygoQV7JS7jIcdd1
pkREt4s4bbEiYSLOExzTgP2zjgvrVHsb313FoejYL/FtiFOT0UI3Lzj60R2zSxu0/dZja91YmDLP
tjR/Q1ltk5DUBFP1or3MdchhHfdePAYQnQyDuuG2FR5uFNntIpE/cnwed6qt4T76dVJQM3bB6Q8i
NzUf3cXE5+DaPytJYYvfu4euKo0DtfTUOtoWldtDH3fp4mwax+lOrQmmic0bE7DTIQ0vHHlLtSwI
SC01pHLYO4vxMjd5l9DUnlJEprmYRIW1ByiRH+g1iOirQSfR80LesCl/2U23nDyx8sXTf2j8Wi5k
JxtKQPdZa3UXL+fAjyVsJKEHSCnHEShNe0lKfCNETe09Xu4KcGS58zNN4S6FMNvKoLRH1gWNbg0y
tQ9fwcessXe4hd9lpuk8S+QvRNQ9Bb4zxmEXG+DqggrHe01MU5B4wBuwG/yQFhCVPvgcf7fAI3mO
mnW+TBlGdMXlNTWD7pxVnDfMaHLjzsHdtghnOGW2ucR2IC4R3Qz7ajL8jSBIsmWLhZddc+DDizns
uYXjWWm1dfTX7Jqv83orEcAPXkp5dVNuIEcDdhdkytAP0Taqcr3ghH5gKuufUvaXymzcS2N6X4Ks
5X7Mgmnf+nl1BZFWZRgOuCn4HKHS+TDVpnEZGmunewQNq/bVL6IzG3pFwPdmy592KA4DhKgf7nI/
jylzOKP0Y42b/V91TraNeXn1zH2D9pQvmU/g4/3oalch3RAWxkAPf+CB2EW0Y+yPop9LIxkX/30F
8rb3ZUUvYlH9EFp5t6Zn2jJM2PgdeW1kT/SxD/AGUjzl+6dZucHOonf94mGLU6O+zMKzL62SAVB3
+UQVHusen10YWxG8m4O74JhRQZUoNSaB0U2xaeQka2t9yT1iI+2SHXzkYySLPWKotVU9PjwoeONe
B4pcF9K3kwcDV4/XtvPEsymFyQOD+d9fyVMzoDv0+AriFZ8NMFfHTvIO36yu7g1bkgxWNOB+xbX3
QlIO1ICkegujtzp0Hy3NfRfwmq8mDVMJYulTXTbp4+Ba2CA5Bx0ZZuFBM60TWsh0HtP1AU3B32ps
ZoesmX/kVj+8js62rOcT5OnhiDl/3E2W+zpwMYyx2NHt4LX0YaKtbQKLGVOqo5847ZZj2ZQV7wEv
QVa047narF7YPNkGkK+oer8nTV9771ddjcQA5wC4Hue9fVREDFM9sa+q8muEfER5pknvIyt/3FhQ
1H1EpUPmLv6GPh6ueW5e6o0I7Z1TXHRkjq+GzWentZgzOWbTfa6O+Y4Vzdo4TjSBtbWqfa6s6FwH
1s+8Yk+RIGPOISag8Y4l42JEAduQ/kiFaB8jWoREb1FiYfZvNI8sh0hby4ZGPi9RXd3GRL5BCDKn
UJb6uWSUcqsHLqXIbCsDDpLFSYnr2+qGT8Lp02GJSJKOdXCR6oYpJTtJIxIbqy3Ybfy2ieUdDFaZ
xQEp4dqFHaU3a7sedHCWRg7yC7rzMJp3XYAmD6uRdMjmgclqQV2aO3FRQcANY79EnxadH93+/jLY
WiZjuGJvN/uQzhCaPPVs3813br91MRZ3xB7MhwVPyjFIF2NncScEU0gUfARmwzZH8ypGxaQlqMR7
NTKzq+8d7nOvts1QbrxWmAcAaR8dyfdzmhXfq0alcU1XCITBpHSJEIquSdaVg4X4KAbDB+0/n4il
ITSRTYM351tbvx+4G1GGvY10UeyVt+CqqUTsEwD1DKRilv+V7laPSmVelr3K53d7CNEvRwzqbQhH
LZh4Sc3HxSHMBMca1JFaOC/jJqInyzq3uF02owmAsQ6Ng9XU8pX0biYxv3iEJxYXz1S5MsOeGdKn
DV1uPXzjKHR3RN2db6s/vqcol1jh07PRggnMCcriYDOvafmIDOAfC4p6HuTQP9WZtV7//iKmmV6E
O3JwHCl+0wsN8J6xDQqgAPhzD2vEkgrcDrreIVctXHgnI0jWE+7f4kdtH50ZNE/WqGNh6O/l1H2n
TQDwAAbf699fKga5ufYlcHoch7kVm6agN2gdoTZWAbuWPGeh+Y2EKHXwYfs82dWzcgumrNrceXa4
UvlevJhyj2P6TDI1Q/T2E7e3/b0HCAdIjHMUrY/fN2ruRbdUC3nyG5Cx6ESjSADPCmlteoEP1G5I
edCavvSJS4hs41TtZ0hfYiVeyA+xPdbQ1XORHTwfhz3hlPcZG1ss+QknU30OY4kzNVs2zDCZuwY2
eRzGiL4ZUhVIMtMoD/S1EWamqjMg2YJU94ZNSG5St+fIWQQvYzbvzZZpa2utO/IZH5j84llhPO9x
ZKvae2kH582gFqAonhZMx96HrSA7M2aMZ2rqvtjGiSihIr2Qy+/3IsewlXWUnFdLCg56cPAFWCFO
hVHvCySGmECscTLIdfCr++WbGkCgZd06bHGT7+3F6YhbRfLGGADz2XT/jQr/K4XsrSQuK7U4WAfw
uZJl3hkO/SIprCQu0UxOlm7XmvXNqPK93dcwIvJTpi3MF6HYiZ6an76vy6fAjs4dJW5LkH/NtfyT
rfReNkRZN6Oo2GwGCspSuTWAbD8W5LvqyK2vmDx+5C3xuTo4Q4h8XwP3ams/GR1vjiUPDggGQKWg
kLbaqsShTkvaaC2x7nHHj3wqKqbJxXhcQ8pcYH0MW5bTm2PYNCczS3Py+WyY/OY5Z+lZtthljdI5
mebUb8uA2gLDEldEpOHi3r84DScyy47ebPVbzDb48xQqki6Xy70dhs/bE6GE5Qn7yXoPpkFy8+W0
6XNBYszstlaQe7+VUm/ieRjs9lIh0zz+/QVjGq0cdxqFU9yUnxUcWtSSuN5oPaFwNdt20gTkfYPm
L/u7ylb7Z4Ztd6usLn2wUVZZxbfEzeWVXbc5536Bi9zmRChamA2F5XDLn8MykTpwNt1MktVpRfGk
nEqe25yujKmbH8zWxhptM5a1erzbIpiW62QZxjYio73VZrg+5pMTHEq/o37q/o+1X5uPtVm2+5EQ
4IkFpVJU/EJE33UM96mRzvB0F+LN8unhHFuIu1HLYUtGn0Bc9baaWJeL1mVVU+62Q8nbO4qOH4O+
nykrrnPVfzdH12QWX1NNnpPsLqFsqGDdYi/GN9QK2r5n4rNE3K/VmhFl4APp22ub4Jp6JhLxqSaq
Kxxw6PVYfgP+Ilhpr9QX3mA7HauMcnCkzOHgN6CKzWCeSTu7z00V5buUm9jGn6w+NgkdsbjP8FIo
2qGPnKMwf3/K2HCguq4QoGD1slinBRBB7xdgMhkav5awzM7W0l7NoX3IJ4aRsKvGM86rVfCQZ8Pw
6LEybCM3vXKQS7eKEcrOqSYM1vJrGOruzI3LoZmJtGPudJiX0kc1NdUuHBdB07VnbUmcHMI8/T4J
Tiezs3DSqjgyZZxoFrprSVTfY4XGUsQZR05pFwBaDe+XE4EeKgsS5YHlwxewHm3O0hwI5z+uU3/U
uvxmNm1c6QlmDfpZ7k0XT9WfI/oj9yyaVWfpb5XAAj5jqRn3+aSbPbFP0l+lds4hW6Lv19dRRjpR
1S/bO/JmXznseTsUOjyw6S+31A9Evad9sJbP7UQ5DMdWWmeWt3lSDmEbklGpVWs09PVh5OqzWZX7
09Qdn5du/EZeHqMTd4BFhnRz9s1uzDzMBGv4U3rZyCZG0MjM64mMN/srSYYLH24a/+R7pWiqZq+g
iro6kQX6oxj27TsHG0wJnB5Z+iJbPB6DDaaSrclOyqDfr1mgn3QLNIPw81ffKFj7wfrscue2VD8e
lGHSgOnqC/crS3FWWQEU0b/ZJGMNf0gWdrsTxm/PRdFWK/L/7FJDEOCgIsxOkaEwWyZ+a4QbGbTc
IYXuwudzY1MTnrAtXybbG7f5lH5DZGFH9/mjKPjwLMkDGtBo7cnYXbIvJxXHHJ/yQXriPAG8wpLB
zuMp4v+pd+mCoHnnqgkQCb/ahlSzd0jtkVa0sbhCYCkPvtO/2k4enm2BroAHY+L76u91XqPtzkD7
eCdfpaAXM0jz4dJHa4wXUG0nsvMx/YCoKSAiFzt44LG5NGTCJnNIuchQ/NzXBq7oCJW4Ctg/TOGa
xxzibUS89SLrS8f0lp50TFSYdqFns24VIwExPzMS4dLm0eOaidSpD8Pv+VJPJ8cVxq7RIPwaIlZb
2kvmeNRYZmR2lozVH2VYUDLgyV3ncPqInDbi6ek6XuOGTl2H5Fvl4x8nUqpgDy4aHtboMgPMX4Fw
yiEDl1MAhCBEwFUWzq6crFMLsIh5HNSGyNXfZcsEQti00EziIPkxlbjRiboJ8Wg9m16HzapeH7qZ
/ZqUIgMvPOEBp7wzls32PJbVLbQd2rirW5ZP8rvLlksJkRDCjfOccsnOr0j6vAVjf4p05bNpv7Qe
oyUWseW0MNp5pTiOWyOQcPgJeSKR3rfT3SPA5CYdKKGzvhpv501ue1D05yX16BTUiLOojxXdn531
2xlZIDMkDXxveXia4C9T3HrMQ/NHZpo37SNUeH1tbuuuMQ99R/byboQqXQFOeMYdXWoQy1I6j7UV
3lxu5JVLi3bd9SWazQwIHBARNjmIqGoqK3wCXnjwbWujQn/Hw1wn/TD/udNv3rqZxIcji6MnvGLX
UlAaDg2e0oG3q8nQUYTLQpxp2ZwNl0GOLCOBBO3/6F3lbJ0UPAyf94TB8YXlgDYh4HLAAr4rs8hi
0Xq3YaaCy/XJNZkjzwhDO97lO/BRxlkKBRXADueqjobfJvxQ2fI8QxqDbj0mTXmplE201kEM4PKQ
7hg1c+DnvXBDCiEb+KkY+szYakZ2okKBv+jfapWzYuTi+5hmDMfco8jhSoQSbrMHUqbU9+tOnkRc
7rSjk9KckI+yMe5DSQQnzPiwrPlDtcpgA32KgJYW3JLy3thngtCWypfHlc9SBr0CTigPzOIS6vHN
ZJrTT+CXXixy9H0ZhGerV6Ce1IJmD+dcj6DlODa+B8DUkiz3X5qJY68yhc315HEcnQ7+BnIYKL1N
HXmPq9dn134I2FfF+Fp+uNk7XQVIhNyJaSblEUSpPTJ13Vv3St9R0LY2m+smZT/egWH6DMp6H7qz
s5vTPOP1dX+5Ov3MGu8jn42ZhgCgeAStw2MZ7jxrPOcOL60y85HMPmk0L3/pqyLnqWQauTbvXOZ+
W3Q7c6jnnEEG+ODX7ItFNf1SHXdPcE9+OpJ1bYY5aa2q3Eg2CDGMwaHA9oAZRJ8iozwyuJeIABSP
cAOBi88kQkeGS59qeZ40Q3ZLTB3XmNzb+14VJpYfkYgIpntPF0bpqXdBnJrjhWW0OlazEaNkEkUN
8NHWIHFOMODOTtGFscXthn2pPERyyp/7HtKAFfTV4W6s5Fxto47xkA/FscODHXDmqnBh2YXD5/YL
Fx8bSij3fVjSEPQWQR+lHcKHGzzoU49JzCFgyc8h2i3fCkS/b+yBHLK0lf0lap2bTLWBPLosG2P9
TvHg9zSsNJFwZvvVLIhXhvEs2ieDIfkh8IZfwdBzvMrGI6kWk+qET1MxCzc4k5IFRmUzx6vXuBgM
XRATRXFyfUbEhU6o7H4DZvyWltVzXbFLi2AGlgdbjET2JqpEQr4v2CJ0umD3wytzSubdimjKVJKc
W9v5Nsh6iWt1BvfanZ2ofFzH/EG5QgDErKGzsaZNeciNn7n1tnL6KA4xzCWWntqkmzli9lE27gLn
rtkO/OwEQlxaqQtaLEDHVhcHJBVNfJhGo++jzLgiDM0O+AC176t1UVwcPT0Fid0zik3NndsSxus6
htW6g0vpV86LbafGs2S5Pc/O9E1E3OZg/0Aus/a9F70JqTlo4xjd4jXcCmv6TB2Wp9bFrhJ+Y8C/
wpSwXzylnpRhPxle81APxKlnd7i/9hdVOY9G5zHvSvPD3UcQkRMMfPNt5vK9GZb0wvtIWIsiVxrC
dkVhS1yiL8RtU2aA0/MYsbvKkTGe6J89TuychNDi5BSwj5jtDuMfSiaRrCUyYm6aKq7Z2OKVkN3H
wh8SPfA0DW1jdiX4Fm3c5rnV1XSrMO7FVTaeAHwzDQ1YTwpXGld/LC9Qq+p4nEz4V43rXXqjgJ+C
RWfj+CmW2tk+eNnwmKbrozvSqJVrjenoGhJ1rYcaW9aS3rhPXXMzH05hnSLCAAyaJZ5S4fwMdNBe
0JWSyu3y4+CUJ6tWXQKhLdu0LSOCLL+A+oDQg3NvMjgjTuF7Ke9pwDR9CLXfX5pCAsGrXPQodmHa
M/d1oeW+WtrtECAyCBsFcFDVTEOTOcX4lm/C8iijqB8BuzQEpCEX5uXbkBfNoTeRZhcqRWq6+k5R
0L0yF8JaU0Qe/CKyiSvR39SRR4gc+JoYpmOdtnFmltO3yjmpqTj2NfwA1AcoCZN/1CjZlDvwQCIn
nSC4+L5FF2vQ0+tr0xisxIrSdSechCWN4Ug/aJBmMFzb4d6rUaJN8ety1iTVlqBabBjdHRhJf6dy
djlPnKUjswVv1fP4YbbuOrhtE9XJ2nPbvTSggaw0HgWG+2RQfjz0DCRA/fmExQeAj5Jh0VRy/gxz
d4jhGkBvw02z1YV/UNrliFVRIG7RwznzV9eWYsCh/RjyJ7tbIeJ6nSOuV3QA4gaOlS6iHeOGYl9Y
42tu61+Si9slVPm+MpZjeKdnaE4xsaPuzateQ48GDYXl8jNgbVy4NiyDcZwzLE54HreolqyQY7Gf
ZVnFJj5yEmUI0JKWMfZCHKv6UlHtYhZfpeXke4rKqDpsG5EY4frHcmuKx10X9Exnin0OvHVDpqO5
LhS+t/AH3rWRdnE+mDskk+Zm4wJj5QWbIz0zShi+cYxBDXvJ65YUX0kFyiSORkvkYwyw2zK1eFA1
63NPBG9HAGInZB89cm69Ypr6XjqAkyzrYyyUH8MVPUEaLCgayUmS9REnm5reUfHTaHiXMVAd6iD/
4CyJcYBfrcia7DDlULcrDtdsdihq3baEwrorQmLSqcvoYoLerbtXO2DQmZMiPkjD+MbHKgofTLjj
LHDMAKeDulrvRZWil3MyiRSWupZIgDc0N8RzPo0FdDm7vmQ+Y4fMfxmwjm7sWT6Akt+EC3QQfEoT
Bw/vadD+J3VJuwGo0My9lytzfWzvllSr42NqAvyzhixeCNIY2QKqQAe/J5M+2aDBC8oGs7l77mX4
RdiW5AgfmNFwv7wKT+FsPNlh/wmUkIJthCfMNzCDpumyLmN2s6Ln0uycS+myEQ9W8EnK/yStdv6O
fLNT96tw6wbua5E9VpWiA0g4ijKcujsUjsp2LVPNZ0JCT3Lkd2J24t1UsXqvGYO7sFjfHE5Dh1bc
X0bgm7EXdevZ5RqxobGt2zhLbzwbWX0v2sa36+gjk5jwGOgmKWtnulI+Ml///m8opPN1UP0n9dfi
8K8/FDYOzGjS4RbZKriZ94tRydlhdNffPsfeUy4bYOvwCTb47cSTysZsX9hTdyNgTrd48M3DYnvu
ucXt5xWh0dJ5fmwaLkc6NDExznp8puDxQO1kXCrxOuETv9ZrjOvD3ttY6jCQ1YV5CBXTMLsfP2Dz
nbA7cRV0yvwhKicTqNIabtfJthGfeDpnsKiMkXM7AbHJ/HdE8XSy2UT75OShx+zgVrpKQF5lD6F9
cDAhwWnNxUUW/bVvOvuhCsxLOy3q4gjvCw5mtB/MYR9MUxykHpXv67RPQabsbAbK9erTG8/0dQhK
lnlrjKOSZwG1PEaouUIzvJHdJA2KBd9TDgvk2O5RN+ojEc90Y+OwfiSJ8pZPpXNryHo8acEKyrTH
HWf7xa+YY/EmIGIwL+Kt6L+YCR6N2s9YYT/z0q0Sby7KzeBVJKyRYnWVga+6F9YWC4c4YLIvWhff
DKY04VqUvDKo0Xm+/Ow0J3evrd6WLvZAV5FaB5o6T6F5lIZICEqlx7w1T7nRbJsWjG5H+wvIjizx
8OmyPQVHaxhIng1iStAOiHUFt2xiE8nfadHB8OA0w340R4qSuULj/wxYE8FN9GdiBqhWI62b7fza
to6TkHYT2yG3bmE0vOXWgHNvcscDI1XMEW3WMmWp10cycjECyQ1WEQzhZcmT3By+ZVPx3BWjTpiy
XVPs54fBJbW4tBOH6nI8pT+w0qZ7UGE02oCQ3HVCgjmOnNfAWUkEjEczzF/EZM0xyy0kJUIq3K4d
SjmAG7lL+NpX40vh9ZpzY0v6bGSeKQYeypDX3JhAepl2Uezc0ikvKzCXbT4YzUWsHsVAgctgQgLP
GokGBmQ3HPSjfSUYAhvtztDNjxG/4HPNzXMMjI+xWurDuJrECAEQW+AqIQ0ZAoHL42ZU3hz0OjAK
84rHUbAXG+9M/7m8QWfZkr8AOLREG1J7XtCxqiGmmeAxIGMkLdf+je+NckdQeitmJJJq5l0L5fBo
iVxvAlH/lNHA9BX1bIGuozOkUGmz79uEPTYYpfXektgqQFh5BSslYveU9NOqt55l5dSdAXJOkY1w
+cJz4Jpv0TiLugtO/NgV+CfMmSoSeAKXv79oqkGToqrRrAhGbZo7LLPpnKd+zMfTKvWR479Gh+V6
WzqMkyPxObSwfW2J48su1dXXn4WTtl+C+ivGwbduVvc2uOEbBgKqG0Z3P0TexwIkc0eDwFdvGdj3
uOzHZUQbm5bFQDjkuxSoIMCQHhiC7U2h2hjc8N2HbmNaVBOqhz5pv/JOPt6GBgxksmBfJcHLT5te
yYlHL9OY/gkWP8lRpWEpFX5i0rJG5OVLd+DD/NLU+/rccPnyNc0l6doNe9jVrNKSORVdUbAEDbzs
auThJ3ume45hTnbFjVzupLDJtRsup4iIz0i+Pq91dU/HVntwDg4ZNXw9kNm7zSD9GZWD6yBdaIAr
1MBKiWpcEKjf2SFH66qGdsYyjCLkoQnMTLgKt/k0XfM7gYIAi033M2qiJ1K4tHX5/cuUpXhaBgFM
lRCHdAktIkUZY/qLl5bcUWGE5OenbdjyDrresL5Ic3LRBl1zy/+EdopjlT0f269pvesJKmRtrb8C
OuS2WFALDmjeTavypfADlHrAt7B+RYxAD4oXD24xk4Soy8Okgm+r/Y1g2hfJTH7LNkMAYG4Dyi26
BTnjA8YC6a7QOpmVvtotO4w7EsRo64qZqPogu9xHEmXsIcumb/7KdKKR2SUnRZtGa3QnJvweuM7R
lKwI+mXvRfAZBiH3ttr/HOsMHrk048I19qySa8xElMSHH4+DnyxYXKCSX2ra6LpVJXTZkJXIPlID
5VYN/JCAZ/ROrvyjNwlK7bA0iX71dkY5fTboNJtGP4QOMlZFjvpeV+c75UYzDbj3lFfrzZPg8ga+
PQioq5XKfGsqdRVdx0aDiMoN4VAQHNYMZbdikicpjIPtIyqNhhODDX33ozefLtqBK8VA+SCwWnZu
k5BIJl7LLEuGAI6yYwY+IoJ5rIU+V4H3Ua4hLbMSeEi1hRirtgC6Zbc+NxM4bgZCVO5ufOOOnuIq
tBsM9d2G85UWsmImFYLydLodBnq2GVNAAlKbLkp8wBIoq7sajgWBqu48F0yYmYTl6xLTUXOEFKsQ
r8SXDMjeGWREjFnfIji3pa9jAlkKRJnxmpvYzJr5Lq4sOf/HOTrmQ3pQeZDkDsGTAEAQPhImbynn
Lednbz9Di7z2Vntp3YwD5EPI988clVgl5Hr6WONCzwfMNTcbn1C2VMcykDWIESgcRuAkzWAx+0P3
jHL+5rBMMSTd/TaZkeLbKI8EqDFOW+X3NkovrZNGu2XHqXc7oG+ypfBYOwy4CRZ576umkK394UD+
20aTyrapAyRpBBRiExos7/PMRvdMtLhha9PiamweNOQbhqDuMRr8PeQe2jHqdJvn48OYd49TkL2Z
tot6zGDGnYwdkZknu28LlnVxGWmP6+v5CQ89MHUJnotPOoMiuW5Uj09fcWrAf79d+jAJ7eahHXxu
9Ab0Jjijt57K8TNucxDf7qyIi9D/5mp19gPnzNylfh34aZJFgKEB6xsPVjicZo/T09yFwxG0L+lh
8OVMkt/rJlxPzjrFuYzS4+o7X9S52CRh3TeWiO5ETJW70cBPXRPmCrzyioeXxr1qc59aYmR/HRht
uLPggiW5+VeHlkkwr26HJuvWZzDTiTvMe1FxIF3E/KXCmTlDtVq7qu1qzivQX2NKAjSszrEmU1jb
icD6stX6OPsfTggUx5mn5uQsI7qjxOuOovum/VAm7WgVhKfMz1qzNxDTG/ahOWJGCLQ8mE742ohu
t1qwnQoIPngUFo3Xg4aCZbbsrd0txW7p02UzRurmzr+bynJfrIqpZktzZi8YXtGK4O8AA9g7TOTp
zsM+ma+kSPuZ/mSGG/BTn+nkpANUYv3HdoQwN2FSaB6wPPUJb5b9FUJbAuZgPkbAAi892JmiVg+K
e9852FXSJMWPVHYHEcp9Y3MHt1oS5aU/cnnsF3U269OUj+pSMpBAWpTHdBV7LsZGQhj+lVE1/BWa
Ev2GCgpzol5bMslRXm49VhFuVIdXpV3EFyEYlpjVPnR67a/E0YIhzZMARoGF9fCsBJfDlpF7XszV
AZ8PNsdqnBEfWov+wbW8ADriYOD35QmZ1Zw4ZLu1DuM64LkzrDuGc3QnNDYTV4AbAX92sDDVf8hl
nyzqIng25dechT8DSHnkLZmSwxT1zDGhNmjr0gy4qWQbHoQVXrus37eRvccbwZ1JYHwxrePEhsTQ
+k35yEjtpb7f+xU0bP88mutXZvjv44qhrbSRwJ8NgKk7XALebc4QVhemHYEcIM5F0R4ctwBCK4hS
fFD6hCgWTN0uDYJnVTTJ3+5UciV0q/qoqq4sf3S5dXQtDai7qo/NSHIEJt1vu109iFNUgPiWZHpR
jdmRHM12kVAQgr5nEWmrBKyEQ0kTLPeZiGxrM0/w4JTt6AQDce+WJRcr9WcpWm6kWXUye2BqRe7h
CeoOBlnoxPcge7QmIcrU+SLXHBw8LpD0RPYcCPEzvHk5D5w1EMhzFvFNgJv3NBPXoZifg1zGTRlJ
uNiCo7eXonxYOSN+DtZN4ISPum4ISyMHHwlabF3mBSUIG7gdPXdIv/1V1QwZDYoQCFqhu/RsoblT
HP92lP//dtX/j2tztHwLbcE1McD/vwE3+Jh/9BBVKK7+z2ybf/3L/zTjU+t4b5ims8cJQET5mN3/
acY3/7K9vyvMTRckjnf/k7r5R2e1+5dl2hjtqVtkgONb/zLjW8Ff9BRSZ+1T/uMHNNX9t8z4gfNf
y4T8EIO+bUV2aDN7BsLzn834ZpqPBf+Z9/PgldvVKy3ii1TTyUxxNRiADC54QhbPao7Zo6UWj4bj
etiTrhdnw1bPFjWl2/LOQvGiAV1jcq6LnTmPLm6DVav2NkwTttMe+xk01ct8b3O0LYfqOpAuxfSH
MAITOQ9MVxaApmCV/SoBfZ+ByKAulfbjzETV6YDBYYUCQe3yxHn5e3Z/Avwf6TqGXDFJPqpHFP1b
x7MZu0Qu09qbtubdbY2kEIRvKg392Gk17jQIpInk/pYOADWDlTe6WgSL2lY0/hPQmZTq7o4bWup8
x1XE4fdzmNNLV7ofbkkIFuAFfUv11Z87Z0PrEFkkBEmG3fOGNj+gMxhJUE8uodW/Z8A4lSThpIuj
vWQrw9QaF0lkxzZtymbEBa1t1etYLr/nnON6FDVbO+vfmIaUB10m8FtSZMr2LWgJY+vSSQKZbvFV
zrj28OHKvO+RivAUEAH6UeZozNlsubFd2WcSyv+HsjPbcR1Zr/SrNM49D0gGySCBti8kUbOUyjl3
3hA5ciaD8/D0/li2geNuu9u+SaBqV+3MlMSIf1jrW2BD1nifAAWJ9hqSTO3TAPwmAupQTexuEf2Y
smNEJ+Z6bYfC2Q49r6TdaY8uU8cgK9xTGuTrlH3FWQ+YpIB0iS1wIpRHJfkl3QQRcYZVrNce7QQp
vKEwiQ5XatuKkjwdSHxr27OeyxbWNceqZCXGMmeqPIyofNAoS7mV7Bm1q8kIxhF0otlOgjpfpU0F
HRV4KsQj750pLfHW6QfowHlFek3B8dixZkBHykcoMW+C5hQzfQr9cY6RRowHFETwW9L4rYM4selL
cnsY6NN3el64xSfVrGrIqv5YFd6hy523KC4PGWEnx5FxWmsE2QX235p3ebzpTVEAcxTG3kDo4ZuR
PPdB2X/yfDwJj323wOBaASHeUAiUDzKUtxTszBEq4crJffQ/6r3hFY8qmyBzKu2PJrxniv8E8h/F
R/fk6GbyiQZsrdtlRXz1B+hn66EOyYwUbFJ3rejSU9vkn1WgR0xexXRgGTOuM+6GVT9jN42jMFhQ
Ic4Kdzn3fYjUmuSZ+8aa+ZCHMronZqlfq4KyAJnJvCfzVB01DMa4MEbMyEVCqAnaecAAirVF8QJZ
MpWojCMv8XFGKt/ty0uaMPTMvmJRm3Ai2WY4Aw0jmB+Kzvq3q4crPqKzxytErVNuZIA0K8ajtE5Z
yxQYuUvaJFAzzaYtWouLt6Lub/eOcYfGbd8Z4bIIhGiEilTLmyeUyeyInGGPJPBYZjHiaj6grNdT
vofzh6kXGGBZAKjzhB+1WYyNkRKBkGX2Dh2Mgqkpb/rE93fkTDx4rN56tFtr5jdvbrmkbbdz9m6b
oJICS9/BVCr4Dvp4lwTeo1e85czYOxElTyJprJV0ZjZ6kiAS06TvD9tzw8EgSXkCe1nvsFB/EKxz
Gp1xO0xMVGUeJliZczYY6MZScccEQCOji/1eq8md8gASaiJd0yLRU4TsmcayfpmT5FKQSSLLCzpF
DkFyOHcacCOCE14qpyOMBy3g0ZHVnWbp4ZkIowk2c6b2KthlTWBfBm94QEqas/LyQ+DjdwFiG366
HSXxlxcl4V1HCk/vWsanrCvwFIN+iqxx3guskIJCdAOyiaBzbO2HMgsfysY2T+7YPSb6hsK2vipY
4qmU+VUpjxS+hNCo0aLz1gDvHZgcnUVmfQFUOQDQeE5a7w9JwSahRpTWZJoB0Ue+GyLIjKNv0UXN
KpIFA7akHJZ1q1+iNE06qOvY2CUxqLvMbitUaj0md3aqq7i+Jf1kbUqncrdBMR+Vl325nflQFOq9
7nv8WOmluig7/erCFuV6kwXkqr3p4ljOQlwNl20PQGE2xgmcjoFYRdZ3SkHwGi4FbIdTC5XiwLyI
aFRjZt3Z8TYIuMPrbLGpTLN5CMLgpQHStOoMtphB2Odbjw7RCuNj54SM8prgu8cNNowU0BPD+VAH
kdqh5MSoQHzspFo4MK5c945Rb/BJrrApzJSUHpL9Faa435YJ8WhkL6lhPtBuwacagGwkSAuUNkB6
qUpfFtTh3dQd6LTXQRpqK7tERBPiP18ZjvsczrPwGYxzEXQPooHBbxjdi+a1e6zYI0tTdFGth8oV
2eM27ZwnvPj1MXDHExYTbyMr8qagRN2DktCvU5HijrZi5RdRbF3mxL4wDa7JzbLxtdTpKUNryLRv
/E4F8lzLJQhEldYLiEtYmN0Y/lmWT3TJRU9UXpk91ANRErUbjQz85gdj0sIfOzdO7oTt3AxEu9W1
9ljHljh2oLkzAD031cbTPkTItvNgPR2ITuJXDhPQtugQ14qGz3RKm6k3X5DXWlfB2z8Vb0FDal7b
dH6P+HKrpdwV0qyCPaT3G1kx2YmMCQh67H6JlyoQe9iM0qyk8GGTeGc6wHRdYdfdw3mp2IJmDbCV
3NiSYhtty9Kx9k697DGF/hmh3nsaox8Fb5o1Rulc7UVGQ2a2tcOeOG1D/NcumRpb00jTk5YV+rlA
f84IdejoW3VxkpO91+O5hbyR16dSs25p4HkYv8VPPzOqjQDKJV2v7fUSOA90cvOCE5RhTvngGfF8
lYzlcNQgf1HfXeIR1alzQsfVDa6DufXC9DOv/0w49R/LnvW8mV6cOrxrusreF30LczR31gCHYElk
xYVLA7NQSBItrzXzh9xhcWDrN9vO/oio+EirCHpLUsGmRyS4BYaP/C3tH0mT1O4yhLVrJuUbg88V
6nDmrGaqf9tbw5jHfblcfmg7NWIMjPotw3gUQjw4acB7IK6Fb7GpasLc6OK70N2kzEK3pCOa/mDJ
eVN2E3giF2VVyxJ6zbujYWZv0x1SDAPBfHWWXVpvTBr+de9N88mL9E8W093OQpR2ar2Qo4zxBryc
ceOZkhAmIW4DfMLjpPLwznKI+zALP4a81vFtzlxgZMmF4Tbmc+Ij+yIjLiAzkndX9vIzwXrWZt19
OZUoZ4idCpNL7soX2wT/V3+myGhYaC/43T9wYt4ok1KODR34GfOJvvWl9ROnho48tnpi8yGYfTpy
HTN/YkdVqwNLBvdmWhNDdwcaDPOzVeKwEgDYZNyg8VL89eE5Zy+wTvLxsZop9iq2OdcscB/qPkEE
grLpSLA0gRAZUhcrtyx4z2n4JPhXdjw822bzjkxpOLJ6jm6e6f1xSFmSiZHj0iX+rmB6tzFJyvBZ
2C8ZTMCnkDV0exSg3loWrutHffDY27Fz4wI/Cs+4loPeP/VheEUD1ZxrLHd3idf1Pg6VmRLW4g4A
WE8IZ6euQPUIT+yZAhCqo93aMvsMq0l/8woCW6K+uWCSay6VFreXUpu/kWV59NNgwpFw3OcQxvxs
ZJ9ChQnZh6PxIRQslpLUHV8CnohVkY/Gkfy552ronhb+16ariAgopwfTEdceUtyKP8UC1Tc/Lq/3
xrQnMoEmhpuhQscD+Y66HXeUZrOTe8vHxdxAwaBp1JJKQwRLGgiBk94zZhvkO3n0boaKDOe59dtJ
/wPyc9hMEQFcdgJIt9btF9PtH+cJsWhh1rSciwZDD256rF+HVj0H3rSTNoNsUmBe0nGT6Vm3yeF7
n9x6MNeBRLBrZ9wrSOeYluXZNZTlhydZ40zRj0za2meoWq0iZ7wUerVVcw7sDjQHCWIXMx5+mYQg
8pfdS5aPZ9e1IJjRIKWYZY9xIb6aaFETmdYurvAhWSHpHf0Mqc81WLQ5uERyNSIGm5I3TWvi24tn
x+G5cZNoV3k8w6LpuzUxrD3aJOWs7KZ2NjAtEei50wHdJiL8GmxX4BAkOLtXlLocXxFR9sZzMali
azr9RY+bS7NcmMvK0mMs5reCYjeknRhE9tZCE4F0gfKzRSpR4AKKq/wBO7dBymTwxkKH2tc5x1P+
BJnxmMkUefTwSOUX7QLAnX1kbrVAURhRqUFXP9tO994GgvJggVXw+f9T84nQTK14RR8EKUmDrj2E
8b1Vxe3OKFOs4OMIIEjnEGIE7mBES4GOluAl3O4cj17LzqB9sod6JJwkb9MtSoAUhonMty6H+9EB
5MNGhzbVYtQKEJ5sxBG0/G1CycSrY3LiVOZwyp2T3sYEarDwh+Ei+0s5VHcErqySsgmPNVfWLjc9
CoLQ6e9yK7pVKtXW0I6G24DEhzLoNy9G51SErMcq3mJbi90NPn31wFpSPdTm+FliQ2dMuvBoe0zn
Qxc5r2qe94TNEOLgOUQAuuVd5iV3ScpTzCewPxM0exDVYJ+tfho2AK7LjZkb47brWEnPKiz344gg
PtWdC+QYbSuxTd6VEMeNNv8UVtu9dDvJjv3CkIKd6dhi4uztp3ox66FcHKT5MjYmf0BPkZbTS2JH
H8pUYOBg7fSR9RYEubtPdbln7LYbnDEhkNWRqxwhIf4EdpcMXc5uuWtdG37H2F4DYIc74E67FgDn
WaAIBS+n/NRDGVLAzPGtarimaaehsByafWEhNCZ4PdtaRt0fApdNWNqrTc9MZ821qTMMpd8vQ4Nl
eUGuRah0/EV53WxdxM4rmkNSCqZpfNLs/E9EwO+u0qK3ePlkVkV+MqUBsSYzUnYAJel0ZL0ctWZG
+VEDWTfgfGxVlOK/1pX22YXquMD8XiD1IB4cJLPmOiGmy5z2uUZoBqFgwzGhxYXck2HExNNpQ4w/
GWF9TAJGF9WcTuA6ZsS1Ak3ymFnE9upoqtMsemyTP7hTe2ywWs/RJ69uaJHJhqYP0Cee5yFux4tW
sXZUCZtkAhgBRqL2nVXJWm8YyJcU8HIFgic7mM5lg1gIL6Vk+1+3d9j6h5NhaxfDDm65MxVXZyao
J7Oj2g9IFdoqGX3EqMdvRYhNbwi87LV2NGudU97vUg9JbTMNztk06HOZnn0oCnjQCG1yE2rsyLxD
WFnT8zMlrfAWAP7G4yLi0wIub/UluJs1R6NglIWiDe900TDyFRQLrYk/HqN+e2id5EJ+6LEeA4RM
uf0HxTD6Bgx3JN9C07PsnTajjZhKcLZ1XrOMIQ3iAEnqg1BCYAV4nNa27mJNlVF7kGzyQst7jiNT
31pB4iJwoSdOiDV87QoeS00rqvesH2AUz8XBtGzLr8voOx8y7QjdkA8nIA1ikvKZdCn7y0gq531K
4mJbz40Df941edBtPx5mRcp1fofoYtoBanRX5QJkr3U6/AhmFowzZLHOlPekBAHmCbdjygiDrqVe
IdvCKh3dqZjDByuhtQ3J4OFiDQ0/8bRLPiXGeRwm94iQ97wIvtczYKB9bPJKgib+cUf6krJFHV9I
5y5sm4QsDorSeGB5aQvc0wzWjZNZDj5qNCg7wsm3c0WTKUqAhuHs5nfMIh4y5gt56uW7zkhbkDdK
Atjzig2GIuhGdtBTnUZE2KEbZiMR134+mdY6shCSYQt3V3HrvOTpJPZNzFTAjRxebiIyzjWjmRBe
6T4Iid8BefwEQCV/lDzTJoKMrp8ec7KgAdWSQhy59wZP9SOpSdDQPCpJURf345Adg0zhQIyZGjUB
/gSsFQ+1TlsZicDaN+7w3ppje2q7gXSkdHLBKy1yzNx4YRERyukDclTDTBAxSCTpzlK0SlX61OL0
voIyJoqOw/9sx1vX8WzO6TA5s5pMziqBRUAZEu4wb6V2wSABGOTFMlDASqt6XLDGKeTi+8laWjjz
Efs20iRTvIXt1G8zwVU1zenVIVII0xid7sheCaBK86Mtv5Hqz42hPyRkvO9mp4FEF3d3BA1Zuyhj
eRtDGahJH/b7OqrXytbxoZkp6+NUa28QZfZyEPAo89pYURNNB8uNKJBrIFhIP/lvY1mf42S4JZpJ
7mFQFavZGx6HgJDrFgdt0VTbIliAqVNkMRPVsaHyeg1h/ggz9SMgBehM8vCnqVtwHuWp7sYTkPP3
bj5Uo/dVgidF8tH//EUeBaWSHLS6JUghY0crkHZTCNdEj67iwOJXdr/zOH6bO+1GKCgIBIk9WXTt
uAbpdCLo9J6ksAGxhDQZM0kohlb3INPWhVLI9CKxWAYKoM05x0CvMNXww8di2qhBPc5m84gN4ZiF
HuwqTf8waKD5SIZYH/KzqSnEd4JVcu8En6LWoASrzncYY8VBmgExOBRtDRohuDPahokxlBnwkO0+
ihrisL9Uo7GhJaxqNRRbRTzYPixbUgLTc5LC3CtluIl6iAGSiBCm/IiQm+8RmBw3eWygXY4ciF7G
Ngb6ymi7n7hT6icPhYbt9Z9zpOfH/F0q7SYTte9G9u4YPO0NrZC+SjWosrV4xIrPWUGjx9TD+dOE
iKsGQw99vQbN1xHN4jnudnS9m/FahHV+Tia4VHopDhp7/G1qZyBnghMzGBjh35H6UkRIHpxwvqba
b+dQ2jgwgseE8l2Y4QtOg9e4GjQssWrdiAIblOo+5pLWg7kfw60qOnXWkHOZGprfzL1xsZL6SlLl
N9rx5paodlilisk7PW6FzJZ7gGsluk+LRf5DnB2Uhwm0yWThbNdQhchpOlbLF8ypBzOjQ3ahY+V0
qX2UWCd8CPTixsas7BLB+qtdZQr5h6PTF6t3bDHV0ZQ917Nrfnt9CW+vD+JT7YHubsT92AseV0qz
jtHKEOPNGZTb+/Bbj5UF+t9wZ0xHE6xyaYP4UclwcojUWlST0WA+e3r20anp6JjmOSihbxuWtadP
wqowTZfImd4DGwaZCXYELC0l4LUV7stsJI/9mJAwVsvL2A0fBLHtkhEbgyVv2Nizubsp9ZUGS5FW
ZAA2IX4OfHjIBzlIXunKNoHFzvqXnSeLxmzw9nBbqL0mQp6riCk7UkRFIibaF/rJHtU64BugLvIT
bgmw9j5zNhOI/T3n0sEqsRQgDTT9tIx/8QW9pT37FLmfrJdOW6LQzftsHv2mRteImQ79fMNfaJXh
ozfJJ8dMz26r3kIjfXdFZW0JPH2u0EJHibuOlHk/h+6TJujST5U1fLa2+5oP5Vs9E5XQkt6E34Fd
jQ/qgBl0jTGcE/7K/LAxSLstBo6DcM08KvB1ROSbxHl2C7ZLrQ0aFlDPxu16OE+iuOsHrSBgqq9P
wLTSRZxvrDpXG656zUSwbOlLwwyavZ2ZDbM91z0gkDszeh+fau8xtTI0Y/iOryXZziKzzVdWdOgA
w+YLCKKFCHn4DrGfb7U4/WhU8eG4RnpPAhDVf1JVMB7CwbnWRC4MjvmhE2fOC7c3wLQsqo9V3iEB
aaJh3g0RDw25TtA/OFWPWTVOfJYoFlgdfxttKfZeqte+YVSJL7O4Q2ZFK+OZdPO9EM9l3b02Wf4O
mBw/4IhGRhQ/kEqTbduwC4rJJlpJTSHMYHy2H9sYtcnyl4oEVO+U9NU1A98zw3Ei8A8VhYvNGlcV
A8wghTpcauQ4sprcz2W8J/LHPLPwJMgptyCowO5cDePSBaS5P3Mzs0/KUYo2G4uU8XsmO7wc07WO
aTP7TjvHdg1gI8hZhGEFgqbwknvESWSdDxZcP8xCu6rUuC/sKARqN53ZiiSXcSp92jVjNzTsWOzS
2YKUcU9VgwBMwhfrIjnce664ZpVp78bAMDZM8V/MQUvu7WkR3qTq6tApnbD3N/uq1tnvYZXCQ4s0
LUFlVHlcMVSge2S7Ab8y4MjIKcJ1YNkNFXInkBs1O4sVy15azldLgnFDptwKRynjVUb3ay9vDI5/
uR2F2lftYLwBP+BS0L0Hx0GVojITFHrTPdfE1B0H0hx3eovKZ1L6hYs3efRK8Q2KlPBhmmpYIN0L
9vzoZaPLDLeZwUICnAD1Y+yCzF9UxLPOue4E7q8XSGZ4dKINzJ7vNKUrrtO1IcvpuW6p69KYzOay
0LIdoCxCBUBMroacFWggeoOrltRFOMrY9BiPjIAU9rx4aF6qR0b5wc2cbZzQDO+VMd4pItiO2hGb
kkAxBisFuvaMDQgczLiyMzoGQrjvzX4gDUynQTNcVFit1H/nsCx9p2RZAPL2rnPrFF1g9lKJDi+Y
J5DAKeO3QfgPHt5gCoM/qWVlhXyDE6dv83N57gBm/9GV/pzJzp9q23qVgfmiJB4Yxu7qoErUgGal
uiNsVrDeVE7gUc9WmEAG6tVZGw9yQk6Id2Xf191DuUBZiLZADFUZW535KFnLxcVVxUkV1icIufKI
iRBjXEq0WSBuXZdcGSGKo0UEOg6QifVCY3mbxkN76iQp8xPDhLgDgnYtVPXrluNPAYHKN0Q0P/a9
+2p48gW0/XzTjlMk2fM0HdEe1XOu9NVgnV1Jjd9OFsjVMech5ZTf2K39EQo6kVFlv6NTUClhvK+6
ctghM/kNO41lZOEWuxz45CYmn2c90QkyVsN75C1RixFKzaJ4cAoZ7my2I6t5XUHeX1lca7twxn6P
jmDdV6LZqJY9ombSGZfM6PO5/kmd3vbZeeLNWNkO5NgmbLChTyUYb3gCezT1O33KuzPzEHgioRq3
fVdvU8Ou9h2KvyDTmYjnS4FsfrdVT3s6hlBZ7QLsiulxjtuslGrbLbY2b/jKVDJgvdX/WB6OmdiN
fdwKhyzx5EGTl8ICPzojbPeZUu5bcSe03Nvr2JUeoJlZu6ztZuhIRL3/ZDz3jyJ5JSfEBiHkHmPk
OzuzxDdtBAJZ5RLGRbIOCKbxMBMst57G5LXOomlDApbt2y6kd82szE0T1H9xdDeYCKodIUTDLtcZ
WE3mZDO8qIN9bgAymIcQBBY2XXsZSTq6fmL4wGoMPLOR0rbbkiSwliYZf4z32cXcOwZjqIoYB792
dIe2DNnmPIXBKuCh9RQR4AjHfudF2xAkJs0uOroAUQOAWV6pemhxwXqrSresV4Gcm0ruS/XARhEO
W6RfqFdI5ON5YN00QDlgXhcNz5nbX3w9r8TjAlk5ImwY16qcTvFkUe2RhLCTXSWfk8z+zvB4Jl3M
BkQnH5f1U450L81TLDXqpZgTy+86dAthxdDIE9BSq7VVFmz6BLi5tDBP7Zg9J02bEWho3NAUbN0a
SNU4GRB6M/lRbifTQeBv4bAO0Wt4LrQjnOv9RWXk2k3VZzfzCIN6W40RlDqCB9F2pXKrabm51sDb
4QVPjm5Zk8cp60c4Y5QNBglGteG9uQPFWVTlz8tnf4U2DJ/AgGrD/RRY5zYJvkSMm9Oj0sWnl6e+
MAGn6VHSb8a2vS/HZlGS99quCrIvOSmMrQCNzDh4sdxkuA+T6uIQ8kuhz5vSeC2VFkNBpd/99Zih
7NX5oZtDpIhvsyT1PCYaWJCp2KWhsC55rw/7oQ7Q5E4Mh0FXSQqURqGcB7PTYezHwVadrH/tevju
jbQehhr+SNoRX2erX0gsGJoHjCQjaDOCOKZXOwVJWekDsa0KLg3ZhVRLMWlNDExPYY/vMy3f2M0T
ZdVHP/AopT9qLYfGxMIm0XdBNjkUk8Me03Zwcfu3eLLlzshtsQp6Cg6tjLxzuhh4dcbmkctR0ipE
p+mE5kGEwVELrQ9sv/i4Eys5sQ3CvMiTuw8dI4L7zfEsDBX4JWP8k93XsDCaMfZ77BGvUgF5RMIe
xZn5RkGjbysy8naTEsab5um3ZmBhlcfk/bWd1jw2ubnl1/4MSCa9WAwB0NCOXBbiyLiwezJb75pZ
kcbGA1oglKHHchIY0dOEeBczZhnZS3ARmXltrNjb6SnMKRTOay9oxsdIg3xOTOwRzXoJxjPZwOtu
gZG7fkX6KPQr/Y3/nQulXYz/Dh//oUMo1TUE5VlYN2pZdZeZ8yU1dTgzJCn5E9HQnlUuHoR5vPz1
xUoT0p9cZngTUuQ7Nnetx5E1xaZ7rl1VrvUGS3g3UCUprBiCY8AyzPl+CvRnPW3KjT6oYldBzV9L
eo0KrPepMdVnbwfxMUr75p7B467tLXnpiizcVXPL2BNrE2lm2CFna3hoCgaiA/uwRr/SCUTU2Jzy
VbsBvmecRaoevMiZL3YIp5QqpAMwMLbbQBc/ruyTy8RzIieOdgOGN1bPYZO1tjqX7GMdbKqXsoIn
qKhJs5nMPmg4445R9wibBG+zBdy0mC2wn+SPHsCvkr82Ypnz8vgH19hLzyT1bIdRCLvCLHcdLOqV
yNxj04btYYy9e5BN1k4JLHjSria/QsPPjTLke9nnhHxzwfezKe5mojZbZ8Z+Wlv6vgfNgsqUKijo
0SrkaejeNNmQb4QtEHKP3LhY8TaNBhzHosDxs4HkyjJlCZKOVe0LD2lWnKj71iuYieWodtPG8kWi
Q/mpw/I4lzsHINrdkJiU30u4etZ38R1S1H7Pm/2a6A2SuuVLHKIubq1m7wI8clrZMwvViQDoueac
6px6stlnqJi20YBCIDIvOXTD9+CAbRZ6K+w6f0aPhY+Hoke0JVguhh/w8t4pZtN9OmV4ehYdTEIf
ARyA2BM+etuaNa0DIPxgBTkr3AqmALmhBNfVipdWvmVIqULUT09tzGMyIusIg/Bzqi5m6j2jOEmZ
sifGhSmn3Gte3ftJre4zN5J342hbty5vrF3jOdBo2w/mns2lKEQMw6P6IQ4zZ6k1eJsUesqKM0Rd
Oq6fO0yiG2aJydlxsa3giZjp4FMC30aI9lih6OkSudE8Te6DwCnWZhvUr5IHG30iCCZFkLotMByW
XXJydC3djzprgzifABDr8b6qSpa0sItWoqo1qnwLbFLcXerOtJiHZw8R2bbrxmj6bZVDS3PsyRcd
JWZjMEXDrcjcZF4idrT5Am2KGVdBKKtmBimIfRbfvWqCo1uF+YsF3wDtibKSBlFWZ4HDAqfHMi/Y
4dQ56s2IGkrw7uW2BLkO1nyrQ/29yR7BQ9z2l1lEDxqb+UO4GE4yDYNST+Cs4eTHuJnfpiXPdhJd
sjPz7A+T82LjuUGxM+25uJgMsFsDxwWJu9Ou1lW+UXPEurEiXt1Q83Qlfu4BrWN7qiHwVKi36DD1
c6XXSAai7imZq1/7vg0IZ0oi+5bUztLj1PWT1Q1fRQzfjdGfA489tEcc9BRD265UvxpFeWvarwKd
E+kfeMjCqEXWpr3wDtOHRciWhGtCrEAbkGvBK30cNMtOHgOGwSl7aYxr5rR2A/tQsYycijJYOTIp
8TzWl9ooo7tK2pdkAcQOfOr85gHDxzYtMYJHzTUAb3niFUbxP+DVruCVal3tHtp0n7WY19r+c/By
Zp3cnzOsnr5i6Rll/cZiCbkm0+6CCL+hOETBV9vzWddDbiQyT5ZFz7Cuq9DAo1qYsD6Rl+JmpRxM
0YvP84XkghoHbxzeOUTZTGQnNVF8zA35BskYCkHZFr7qsl/To3LQAqSZmhne0rmIz45HlRQjvcW/
R94d2iLrIcL8KQr4sEprt5AeUaTJ/EUjdzWZ469iNoDxTGTncA9Es9ssMvY9pCpjiSt5Aqxa4t1n
rN8ES7LB+OG1WCDrbMBlhI8ix5hbNjtHoWbIO5IdKwNDSd/jKk0mDdNid4pRbPF4ncoQa15lEYfX
lS9ebdErfVttnG4rT7yPot6ONDA+J7Dc8hGPdLGFQ4Q61O2TbW0LzqBqxIqDGDOKx03HG7xBnEJ5
S/bOyiZdd8V0LJvq+lQn3rdguL3oC370QWrbcEJ9Hy8uWpMkFWAqMbSpGc6AjCpgCMavPdvHebZ1
sF0j/BrdGXwfgO2wnYj0WJmdmI/udK0MsCcOzg2kfrydDUWV6tnBpMVtwL7l03p0Vbn3bDRuFlCz
wO6eK5T5Jy9vP0vYb+zMt9IuHyjOHDgQcX5hh0llPNPDqkyRCe+ekyRYArWZKeuxvc8yj1GJV5HZ
XS0v/IAmzW4oKdlNZDTabA9nbK1u1FZsGlApVwnp4bAxN0Yvt2HvPIj4nQBh69QNVPnkjbIz7AY/
C+yJot0g5rNHo+vVmCwLT95IAoc8XyYfMkVPI1r7tUvqDyMNtroMzWsy1cFjN3tIu0CRAQRQhZPs
ydPoT0Grf4lFaWnEdvXHDbjxuh11TfFW13Sj6azQfmUexLuMq8L2xn3Uu6zERdv6KW/wxoiyU9on
466xe5txO4MUhvgCWgItAYAoUiH0iGl76JCVwMbmPmqW8NPeNjd//aMZONO9qHRGREGuoVJjv+IW
kPCQ5j823i7q3P4bfxKrUnYWtjAfRt0+afC1e2tqH6VsGRLXp1hVxslQ3sOA5Xbn1EPuAwqFZwGZ
nqkoFQ0DdLsq0w9Bk6FbGwH14NfGr8I1Sv8/70rEtieSPet9mQQBWPTsbOp9sUcov3Ix7e3VRFGt
yms4ewBSmA+uO+UcbRI0/KFl46Lh7JRIFBhscL3k9nM/Ix4z6Ge15jdeCASFuphCHIbYMJ8CBnZH
hNIc9mOhIAiDdLEq92S3PLJTm+R3ELyIEpoVrm3X3U+pox0CgcTIxZc5SBRVtqu7MA3n82iifSV8
fngiAxH4zVSYhwnf+or1KG/MVGmnyAB1pzFWWYBdxlWjiFslzNZ37QJB063TX1/QVBa7qOofY0ty
LDTuhZYXtmC2TIsmNqf/c6/Kf8+I8vT/z2L+L/+ixTrzVaqpjrlrmn/+K9A5/CmXdIb/8A9+0WIB
u+9+6unhh9iW9p//N//nv/2X/90//F8/f/0tT5P6+ae/fbCVKjZxQyzqV/uPuQ/S04Vjktv4X1tV
duXHf/p//Ks/RRLuQEyEbhgERjgSt8W/+1Ok+DuNjYX6ADOMKSyBM+Tf/CmG/XfXsBzPMyScQqKD
xN/+PSzCsP7uurZnsPa0DP4693+UvmzwF6kymxD/Hr7/6W/MPPnJdMd0sYE7kruDaOh/jIow5dAX
dgZQIkHzZ7nTU6AGv/MwTmbkbOU9oiFLL7epp300LEfrIPqECbMwmtXbP7xo/0la5v/lk/nrJ+FH
sW2LfPjldfrHnySDl5liUB/82eK+n63wt+dIW00D9LP/93ey7MVz83/81jxyEomdJWyJWOA/fq/O
sXm6Gav4eITQCsl+Wtm0gDvWNdCeKhIZ3CzHK5GYNDzLEDmzjiki5AvuiddiohZpXfETSCe6juUf
Y5QELEVtfkfuh09pTIkdOtlGEHO60ce43EWTuzeA/uAusYbFqUzA9PJFZWL/L8ydyXLkTJpdX0XW
a6EMszsWrUUEYh7I4ExuYCSTxDzPePo+npKVSiZp0aaNNiz7KzMZZATg+IZ7zwWsZ+y11HBPqJB8
twvGQ0/G8ppmQ2xcSP1+mETgw5r+EkvXuSqNYpo2/T5oUxT3XnV1hrHbpclsH6Tdn5a4I/amGn90
h5zPwrSvhuFFdwanyaGbArlPivwxh1x1HbHfbQj+01Y9MpltkvQfBut/FPVxy/I56REjdq+FXKL7
OHa7l5ml3djC6NHjeUu2T3ljOb0cxrHK2cb35Q1bibyHS5FpyXAq5/FW2e1ww/xj+kWkZbQz9gt6
72bVJO6fSsbRszefBxZwKt+Ru9OwCAEuo1NRaeFpyqeL6CsI35OwiB5AbxCYDDxDQofZv8V47AsB
zQML5lrQHVDfaLo/aYZ4GFxGHGJmymahNnXr57LzsnNbNre5dNOD7tLraAi5bYd5998vk+nI46C+
uKMHlCco9Z1KNRYivVamNMjn4/XbBIDE5DT9um+8cRcOOYh7BAR4p1kLot9ZThrEIcXasDfCBFMk
g1n3qZniizCbXcQqyTdar7kbMJiEsL1OcNMFLb7XPbhztUFBRSazVpX36eQheG+Nxzxi5eUOpWAP
qU8HPWixc6YjAoDWMM5jED2nZVPuEhY8XKL0QFUafzFbP4gwwp7DGokDYAWP5U0TxRnt0ZOQ1Jud
0NhcV9rTVBQYoeLbGEW/QwIKlAjUTaIh4x7zW5qQvVuh6iS25NProbIMtX3DMHFIqwbLfQOGcsL2
aYcjd+rQntC0KGV3gCI6VF4QJPHDwitJ3bzx26NGDQKplIVnFSvX08JkAXFmOg/2ZSXL8KsAhgyH
6jcQRBF46Uvp6l81hQooQ0XVQsJRiAOat5e2QtJUBS1OX3HBuWZxIWWHwKytrebyQkUdf8nhJzOm
79xELsUmbhUI5IrQSkyIXiq6vLDsZ21u33CrgKTAYeFLdn0kLZ2jvLp45fg4DeK6mOk9gVJ/yC18
ZeuIjDRlXy6ir6RykZpq3mYIipn5oHnrieQi/O4614OPH3xtac2nerf+voBwecsML1e5EMUeaRsR
AUaTPJEGcZOz8w3J4QI5e5U104tuhL9i0J50w7o5ffJbEDa4Gtv7OtXnVWJUFqdycV4GLspGJK+L
nNdlhNLCBXjOrIrX2GXueLNjps529NmXDZpGu3kzS3TE3q9ZMZ3gDTZd6AbsWnpgQkbAu+sMuB4i
5zhp8ok1dyXEhRRLxpSDeKqcrFuxWJpTLgEn9OhMcEe3xaumvRop4xnrOanRgYSZ7ccieFJHODaC
7/LP5Oi3IfXuxTEi7gRRfVfYflfOr70UB/VIMevGwlg2XAd2xLrppoyPmzdHT36Zfl4trofUi88D
Vn2mL7Q7RnEmIyFeG733Yn+Uc84aI3iSmgvUkjetttFDIU5EZdGuapNfVMNhtwcWAOgGp/pKuBR7
oAEGzjKXXWPZKghAFq7CkN2AZ7vmbim7/r4ftzmH71VUQX1noH2D5TteNHqLKmGP2RENWv8YnnOH
JeWW4txPpvtQypdh0rdt4z0FTGcT4iJMJrVViCkPbcyvwVwEPwzXTjPJCSSHs7EN7VYEiKms6t5I
uhvgvH1gV6dFoj+IPZiyvS25EAWmkuBkGDoLDNcAJoarcMYcFbVvkhxgUWAj4M3qer7vki3XdmIa
yjtisWScwuGjcLV0o5n5m4SIamXp1wwel+LRvrWCCY0c0vcuzM/86IDKwQDU/VGvoMPBm+N4o1WP
v1p92WHrangVqDB+NTRv6fxIKO1TrvNzgnIEIVlt69j9ytr+kBfD1hvdD03Xfvqp/goM+6nqWc5K
G5GIY6QXWZj3gxju89AJ4ePzYU3q4uIePyKauTW6h32T36cQYNJx1K8qpHfOqG3SLth0cBVWQ1G+
/OfL3f+XQvZf69j/tvspr5/5T/u3nP1nefvfC9p//uf/H9WuZbs2tdD/vdZ97rrP5r/cN59/ftro
X6ve//Ev/+nJlrphkt/sUsd56Ir/WfOKf+ieZVIL2ybTI2n8T0+2pf/DViZtaVuYM4Rj8Y9aaJPR
v/+baf2DpYTOv/Q827CpV/8znmyL1/hfqj+82I5hC91FNM4K5++ff3+S9Re2//5vxn/FGOm5Te8M
Oy7SWXGKzsCFVn37wpxVFCQ1ihAJyg/xXb+scm9YlLgCuZmB2Fes89VZZ/cQxhBzxZNzaQE2M2Dz
4Bj1c3iH/v9ODEb2LEL9akAUTOtLgSZ4a/cuSmE9/tRCYGWBBcnnXz6K/1MFTRTi//aroa00SJES
vLU4z9Wv/i+/Wt+66TA5w7DjVannMaQwdxqZUiKHymvCL6zpblRCqbZ3OGWmndYXycnRiWo3UFUZ
AnmVp4RWEYqrfo6MLavZ6mTUb6YbV2fdBZej2/dN3TLwwBUBF4mSTcsfCVQ9NEra1akvqZJ78Q3t
9WAb86nH5pCyGF6J2o1uM9YdTFiEl7WApw/QM0ZSanm4NWP0UwYtKZ+OcZkrqW0Cx8qRJceY1ctN
AC/sjE6I57dXHSMXF040pzDCKG956ASbKXG9/TQjbNVHcIZ2VXTbuTRXfdEF14C2gqm081nmgLch
7RzGxpMUDTzhgr5/h92NiG6XMoZ9CwoqtzKy3gvIEBrJOdvCFj3MjapFgdXEt2h2yi2iLIKOkVWv
AF+bOyIyllOAAQErpAcIDSV9GBn3xK+iKa2i4Q6ZvN/XdnaqyoZs99FdD3onjhhSgrVrg/mPrb2j
i/i6ZB7wHcJeRz6xDsQ+tr5Q+JWNccym+z9WRFBUitriTD/4LK+uhvM9Z4Ljk3BskloF60Uq6kum
+C+6IsHw9IE9Jp+kYsSgRietp4WQUiqCDCD3j/ovU0bRZRyFmfnLm1HkGVsxaGxFo5ndV10/jFpk
rGU4kF/VmwXzTshGuIrM3i8U1wYzpOEPLmt1fFtfJXegSuvdWsECi6M6saOeVhg7+lUelez/46sF
Qsd08rsJpI5AVwXMTFekHWsqLpouujURQ1ACwfE4IVwe5OjPLCaQS4LsSRW7B/sFSSnQfGawPiR0
s2gE9ONNBJsYtWzOcOCGY0G9HIdD4pvochHEjcUThorTrOhBoRl8MG1rzpaNU3aSoXNyJyeBGzl+
ZB1u7nap7yaARI0iEyUginDxHkzgrSTdOGubcn6VKp7RVC43sXQH0rrPliIedaCP4J1STWdkLHjO
tkxSCLn1fQwsKU3IwnYko0UwSiY4pWbBLgr0ap+ydMMqwDRurCnI8DaYunnBKAHRDTqTVJwmUTMp
9b410QBhiOSLKAtmw04ZbjtFeWJ+sJ43Xg27pwQChaTz3VVUKA88lOFyhHVMfmXKpojpKbsGRZMq
C4vlp7MraERwW2UFUQ7FwQJBVYKiSvHWMc0g7gOxQwisqjUmsOLQZpNr1TRnFgKX1nyIAFxZgK5c
t2nXsM0umj1s6kTAgyAXKdIObYQJGWtcuLEGAn2SNH6eFUkrZX+EHOi8tP21CRgA0Owwuku+FkXh
woJ6KBSXi4SMGVcKOjXm3RRyIYthfl7fTeGbo/hKkS2H4CQjgF+NIn+ZpDGvSGx/7YCCpS10MEdx
wsxYUIu3R7sKLqjpHjTtVOpwxUoWfw4jzKgMTmYhX/k8OfwQVioiWT/iDJpI4R2AlcWKWmairyqx
aKM7RZQgzm79EucdUkuOU0U9I4z3wM951OsGtQ/qCO6ZfdmkR62CmLaATnMiPIZ6RhgiUDU7xuNt
gFnL5UqfRswK5DCZIvedoroXYNmK9q5QlDZhzh+jR9jgAMCNS4yp+YikxMES7sPKBkbHHIq7JnrN
5vHSLM2u5NvPoOHYep8bJh2Ou8kVOY6Nx7JpoWzOKcQsRZdzbPmRFmEHtuCjAT+HC+AOf+zvDJdO
U4C6NLIOFcQ6pFXk9vQzDLu7qM3eU5ZBzWupMHeWAt5BGqOWTvqLrne7SM80nCA966FCY8zNz0jK
PdkBEQI0XM9fuvk2wdbToDDJ0b4nFZj1F3tV123DTY/vZC0t744x76M5ims5k4dJaIDOMWb+kdie
4EfCuSPcLhtyLt2gxBdEzPh61ixw9qFYHvUWU9sAa62MEtCUhpZsFggdS4nozJWEjUT63nDiV3DZ
uAq04bGgLGcSrd36pfvOOwxQaWm9YyH6YKUs1qXQdNAeYgeVAd8iMHNgjAsa1yZOfVcOjBLwBgLO
lmzBefi5Lf9ZKEgiY2lr48FNnBVAsVckRYVUTFjgRCGQxYhWy8/Y1FPi+rLmrmYHeZuLBBIbsO0g
R2vSRGwUPAVwdFpQjgVMx/zkKMCjbo8Drs/vtkpcv8KLvRtqcA2WhBdSs1msgeY8joRpRx6sVNDJ
I4P+HTg8Tt7BOWpac5xocwBkQuJrIVAuISxK6IDbFjhlFGLuHoZ3fsn+kip+ZdpAsmwV01IHbjkp
ymVQydfZIDamKFLK8/6tUkRMxD5XzQ2ODBWqL6f9MEBnGoqhGTfw14cu+ZjQasAjR6Mo426jjd0h
ytvhaDfOzc4swI4Kc0Lnzy3TO9VuMIP2/PcLw75NjIxm1zKhYQrH7EBRPw3F//QUCbRUTFBb0UEn
abXrOiaSvWthXTbtxrEJV4pn7GTYoEBYNjbuxhZ5T5apC8y7q6E889Arvk3FJ/Xi/h5PXr6KFLvU
4cqMRR0Ta8PH6zkQZAGdGop4ymZ1nXMWFj1qr4Z1Wk/oeR1BzEtH70VnEIFReFnbAG04/66uIqsy
zeeBqGirs+KujgBYUTIUe7ZsryVo1lExWsOu/ITTSS3mHm1FcZ0FPNdWQHYF2HH2QL1GivmKww6u
jOLAOooIayg2bDhBiU0kvNgIcGypCLKRYsnCgIASlw/IseRTBG52VNxZF5UpsFbvNxphZxnQaevh
IP/CaqHWsqQz/UWBbAuFtF0U3Fb7zDyeuAwgIaCwmehdI2H/n19mDSUufqWHFFKuqZC5qOFY5EHR
baHpSoXVLRVgN1ciWVtBd1OF3/Xg8A4sQlB0E2qkEL319FQrZK+r4L3sxSNYvnGloL4jeF8M0TfX
AvirT6B/KW9f4vGQKCSwAqWio9mZChYMVlUAj+tJUAIk3EAUrioEP1pO8guRxsGQBQfX0razwhCP
CkjsKjTxUm+kQhU3PGQYuX5XysjvKZxxOOp+69BaV+MjvH6wiAp93CkIsgkNeXB4y10FSLZyLd/F
Oshk6ta0D49OOqLTdFyfUxtUuOThWJJH/ejJ+iZtpZOq0tugDdY1RC7BqNS97xWy2ck82OEZw5xs
trdsflZNyvh2jBFNV9aF/L1NoBDQEw5hwhXbdeQ6+yUIUEe4yS6XEqq1M23Z4Ju4NekSYEv3yDa3
Ce6CLqJ4gpxA3isgamKfLtD6wrOtINWeuZc20GonB19NkhD5mxCt7b9o6wHIdaBw15UCX88Kgd0q
GLausNhkOEtgNqCyLQXNjhQ+O4WjbXXDq6fA2gBzKYBsWKO+ELhiGoeNNSDuHCI31ItNX8XI7+zh
QTfD4QGVkcM4oMFf2U0QQ+si2nokjZyS6h3fiLXTQ1FfLQQh25B39YbjheV5MmBpkdw6yWT+VE10
BhMu/d6yuELqSa7xHKMpUltAsoany8IPts/l8IHJOQME888/0HROIMa9B9AakFg4pZe83C6zoz1Y
CnruKPy5q0Do6YTx1SOWZp0YhE8R8vUcw01vFUCdA9G5ggcrCP4JYBaBWc8UcB2vfq0cSMceBCOO
LWZ/Cs/eKlC7A7GdIeD07sBwH2C5s8knXUUH7256DxZi2CtW62lAqAH5ql6VcNyhto4fUAseKNE/
0bt/mbDjZYRwOYAm3wCVZ83KaZihM4M3v7TiJyTKaVVjSoe7y7EcnZxeoLXLeBPZeh6gncL68/pt
aEK1FNbH4jo3YtrQwM4g722NMsugk1Yw/Nh9jLHE+B2UfDLTFFpFh5ZZXjsF0g8UUp+Wea134XP0
3l6Cca9B3pcWMVLRjKuJZ6P2Rn5xhiET2dUwt08wlTSF8NcTFKX5X6w/mGg3nDZ1QRJ2WASb7G8E
AMIhJm0tDq7kNWSVsFgIYuom+RZBeTdZwQ6AMB+4ihYwyRgYU8IGiBZ6dbQebav+7rDwjVQsAfsp
v1dBBa2KLMBRfTeqEIOwJs4AP0x46Eg4SFXSwd/Ig9HFBl5ITJoZs2qrtZieV4QkpECQOxWbUKsA
hYUkhYSsgssQEqXUauTKIIamcFXRC6G3/FoqjCFTsQy5CmjQ9PSr6F9rFdyQ8Jt5Rk2UA8Pzqs53
gBpyZJpGujXhpfBpZeuZpoZsR/7O0N9xnY6IBTaOllBH8XCoCzSoTa1PZ55YZB3W7AqKbCJaNXFr
pKwum/2EADQr6YHG9Il9Hwpz08ZBfB2r9tnBUtivR9vno7/X6yHcpwPwj9kNkOC77zD4bOIHLAx/
8EOlH48oz7E32OgnWSaGIZNpcCNCHrM2uogCdlFjLTQKJVTxZePmg7eirLozNEzOCWxGTnofvg2A
65/RXEFbngiqrXjblsxkdabRmmgto3/ybYrgDyKPhRUOBph++Vn07hnj7acuZrxEyhf/bTTIC9u+
e7RyaouF+fsqKxGce4wY6kTpufPkipzC9xbrXFs2+RfRE6mfydoyu5vjjddBohYdw6BRGWcqg89l
Mk6+lbfAw8R3sa7G5rY0ICurnJC0BHEfwV8TKrogJdosotNzERjhjCdZpSbft5y3IsqgsiAp3dWA
oCszupQZ2jOr0yQgddfd61W6l2EFubOqN5zkOED1XAB7MBjHZGRBliN1btp909tlaLW7ecvLhSu2
mUDkSgqXJGb47JrTa2nXeIVv+DkRVg0DKq6wLbYkFeHtZbiM4bw/am5FOGnlhD70KXAVedjgGOQ8
AZJ5gWmx5m0MkG6nX0NjHBLTRq8zOwckXW+5BnuLhpTbzzwAOiJjyrLu7BpexNTsgrJgdovNf1j2
mEsGJWi58wJ4MjWwwnqsX7GsEeumKq1Zv/TqEINH8dbpeNLJW9XXmhG+BN5vLbSNN9Pg9Brhnm0c
4eOscX3K+XEOcI5McIVXo0vWJRMGf+D2NpmgkUpZg8oHYCSaBW3dQIuYXnrCDnvSsCybFYXsK2Cj
PRn0YXGxtWY7JiENnTuxrOCODosafM60Q4ryFNpZf04INgoj8hPjqccMZ5na2RBkn7C7Kgv6H1qT
M2WtkZvgaByIPSXbAhfGr5dvg7Rp7vRwhKsA72vdTDhL7SjehmFKInRIjslQ0m8IG03vkkBG16CS
91UG+WpZkLrFEO219mLM8WU2upnJY33vWAZrMZGh7fJ4+upxjHm6xOZaGFlwJ/IJv8v8UIeVcasz
l3IrKB+iKX+SXv49Ub2dvUaTvmEvTwsOg23T4Y6qhfteIYg7miasP9uDybpkFlk/2LLkbOyBKKR+
Q0WN6BqAN17FsKslir0IwWPRHNSlDjMx2SOiJwovIksHoEpyKoQCMoz1Yyv6X6plrE5h3TzCAfPd
ogbhRRbN1XGPPBLFCavvizPO7W5uStTQmbP1BEVnaY6LvwzejVsjgiTjLCf0odYBkfzWbeSlUea+
plq+Fm0K1mkVhBte3rDK57wlXnfq2trXCOViFQPn0E49niJEZxWAXOowOxS1RViTjWTRXMAg2yMs
LfFILul3ZJHsVOsMKESR/vEwxT7Ai/jUe11/Rg1UboMRsalbJ8vV5pf142YhdLRxUbUL/TOLuu5s
kAjOM70+1OjRV2AStQNjm3sMTPNdaL+SFKBYyQZdxJiymM6NeZ8IlM253nRvjVU/UKLcNy2yryyR
w80ZF22FYBRbxAJrPWzSveUlV6Lk4UfFyiGM5b2XxW1u6NBxcDyOY4xrDxZPQRThKtLMFPptmpzS
8SknY5A0j70VN49liTqqxXSFgWzrAKljhjJkjFeL54G/AwIwQ63Z2++AvIsf5oibBmXsCYXbuGmn
5Hmco46DYMPLUcn0jrVOTdM6FBkV+IJWm3gOMoMYIOoG0WWE5jkkPseLLzPzxYiwpDLy2rhZtmLE
hzkBkcRdqo3slEGXMLaq2A+ZaLo0ixiKxn0KGWmvIVy7l8ko15hrtmON+Bh2F1OUfi53sSCWEoSg
zOwTZPXKt5as9nVmeyu8XC9zg+MqQ85KiGQTbMl3wwlxLMs5OXlefRlS8YZAfhfbxBkgb63C4q4L
q1Nj9A9wOB5S2q4J7rmX7SeD7JS+vg95sLTasNUW/asUUwXfATsV4ksmWvk3Xr6j5jTDKjeTfQmO
C6ZdepoxSjXDvey5LfgnVCz5DwUSmzIPqjfzcVxejJ57eg4+FDRzWdndVya+HNvNP3H7P9FHY1ED
hFyWzQWPug9WjazcxQbnX0ILd0xwcoG744/F2mX2DfFr76bFu6IdaUzRdjGWdc2cOfnSM2tE7mj7
zm7JbKdonoljSJE6Wh6RCS7nNPrmrUm/l/Auxg6MZuALuXdIdVTv1sQDSa0EACM98x7f0dJKvgEl
MwhXnqeavMwsGyZoC5bWr8spJpdglKiYB8EmoHjRcv3JKA1jJbqTmVdHywRh4XgddZ7Rvwtd+5P0
zo+LVHWSHWfQuy05gtN2fGvJflycwOME6sMd1oKv0YQ1ZxyCgfdnyY/dXG01WHaZ0FYJug+n4xwe
cvvSp2a22nk0/cBgItk/mNPO6IxtaEOBSnN5y4ecxgpoNzsuJnFMPn9bfW4Y8oq1LF9sg1heT74O
lXuyLEJNBR3huu70G6fbU4u1o2Phi0Dt3kUpRkHbIqQtSf/jeUJ3jqXBU0/d2ij/BNA8fOSmsNrV
2INgj5QCtW/9uRjvzDa5emXR7G2EXBlyyiCKX+qa4a9kr8Xm3Ww3GuRXWwcpP2TTYyrt7wT3dVx6
566rXhMGs1wTZ3Bwp54wb2Gkf2w5wGetqxsr+FcRYSKqh3stGn/qur7w6PkdRBoDzaP5LM4VW+vt
4qHup5vbcRUyP0FRrY5Iy+sqX4/GOycrmXJO/T7Tyhfwd1x8GoHus5mBhbNj9sjiwwOr4+f6Ap48
DU8B++igCgHdpG4MlowUgHIpcTj1zINh3b71afCTdVBukbdi0SuFQ7Cejlu8a7Y6RSloyHafCuCn
bY/otbjEWDZOVj3Yfo3TXBPvbdePp0ZAnIpgznsiWDAJRKS05O5HP1K+ODI5tBLkTdVNR2RiHJOV
tvUSrYa3puEqjWaGGnG7cefuFd0NVXnWwkxM0k3NZbrQQap25a3vGrJLXNQoqdTzTe0REi3lAiO1
kxjWiNnaYIJ6SPL60BbpK3DfGVMpgJBJgSdJmCdDfobLkykSVo/ZyKmq9Zh07tnLKTlMsBq1R5ml
9aF9rKpK3xl9qh1GhyNDtOlR6hp3VUlqHEodf8pCewt8tz+OC8iPwCBVepynixEF/tSWJ0tr8/ci
XR5n7ylJdFzMiMSY+AzdViNH1EcbSKmo3GbWJ+qrmDFDwCjJgvNsiBG4ZPbmIaEL8AeH1Uiugp7+
AI47dTmNofM616UHPrEkC0KfTn1pvNikRa+bkhuyrNr95PnMP0BWBDGhBg0x0MEI5FfPPZ9c2vTE
aOe6GLYFnXVizOC6BBUWzkcZ8pRpyvFzZCYsbM5Rh3iP3phifx6/zBojpjt/FdMCiF9Lj6armeu4
wTpZBEu+GTX7xxmg8kt/mT392tTm5FezCDhhhUkLVz3GXvinbE0e0aV+F00YSNKJpESEdca2gp+F
dFvmu8JkMhJ1ZLDCEV1JkYYvg23/Dvl0oq13Lwh7tu5sMzVM0YYFAz9oRQGANw+Skwzy6RCm2VF2
SXIvy/hT5KB7ME+BtaUDj8z4EXeYvmPJWh9HxoMI2hoeStG8MbTgbA7lk9sgdCp1mQLJgFkCmosB
ZpD5UQS2U3U6gINIAmrmH54QVwZJOVeS1/pLX+e4NjkWKBYMbWS+qIxKQ6tvCjQ0G83OE6i5lTwu
OoPPWJMbfdJin/wjfVeP1KXGUsfEmbZ3XdpbOxPqoJ5V1zFsvkJUQjSU0V03/iHaQL6kI8q8tT4y
omawNkK1WA4uTEh4KMXRtRCg1bX9SaInQ3KKj70zNUfQJdW9jUQoCoy3IktcQCujwdaXCkjvARqk
JDl/0yzUxHAzP670bZanEQ98gLJjZ0z7pi4UmmI5lFZhE9wU+ZNdtFdczHhiIblE1PmwGearCmEV
LJzfKb1dPBCwu4dB0EtlynYxSergANoto4ELoUHDpaXPXy9DTvZgpuOVKbprFMT7eSmyR0CoPMhg
KmymCPYywYC7IdWBwUby18UU15vyxYsr79ArGXlfNfc0nPdpileitqd6R0FeMSlpR/vOZNNzj6ye
IU3PKo+bhZC5AmaBluTfXl8lp7z0qu2geUf0Oj3Dte4hDSZsghpZyEwHe7aWjuy+4zZzT/hg4Z33
HkdNYOvrDEEzziuVLZUOvjcFzWZeohdk9eZmzuc/RcIisOQsP1a01hRcQAW8Mnq06pG/zoNlnUg0
qBGrCte0EI0GNAEO9UvAXGpN/je73iahXKgJjjJs4utoOvUxEgRjTuO6HtUSWO3DagjS6wys+zFu
cHUYaCmoDdPlJouR0h7MexYzuO2SON20OkI8sEOXDLw3DvSIFR0zow6mJo4RtFQOO5Z1LsoN0gqY
yqIhdWeoQe7arcMVReqmG3igzz4XFLh9T+pOL62LFfYLq6Fy2VQd5WakX20rive0YkwzLSC+PVED
mzx/ylATJxnc6sCDKd0gSFilrAWHidq0SIebByfwIamEMj7rT0Ne6oeeuJEdYblspUzjWaFCCbH5
FVNPhEeh3YYS73Bn6C+em3q7gG8oRQZBdJnWQ1p36zxr3oDDXYjrSp7BWK6kVfWPTZwERwMjFdHp
4Cm1XnuB0iVPXcH6q+NJ+ebCnUaDldwMpBw7TbPrB9cM5cl2nGesdNTjyyvg77OQLhkx1Z9s0rmt
nNsM1ZMEFWaXztWhRFjrtnXjfy96pPnInJkLFB1JScQzliZ5liZvelkSCWUy1YUu/eDU3v0Y7MCQ
vmkJIDXo8PBj6zfb7ihFLfkngtW4Invz2GgwcAZHHCQn+0opEvFsvsXxn6AvP+PwN+zGYkeTcbYb
cUXg9zYWGwOYGQFx6DT48F9Nx3tIPGSdy4wdK6bJtIybHIxjEwGBx9eMjhf9GJ60U6wgwlb8K5fq
zWMLTofz2yzRr8UBE7DLBQGavLctZbF4MxJ39xvrjGwd/jYwUeknjf5rJNNBn9KjcOdPr3IPqaV0
e2S+0wA9jTDwGs88mDFC5G56nD7aMidcF6LeamzuzQoymMrgLcH+siMHUjCWUMJ5nvD/em38TYo6
QAsdNSCKiQHiTdQQUxUQ64KH5ITBDdp/sDSXUi+ie69hxqRd2VSZX2x5L2wh7JdgTn7nDh2Il1Ab
DbXTXbLRqdcOodKxliAbqOfdSFguUgvdfhwioCAmHDCIke2aaEzXR1hJl1wAQE4M1ziDTd0UBrrB
iQZtSz/c3jGhIMFOMMCVyylfMhy/9RdS8vol0pz7cXl32lqHNzOXfh+jd6jGElewUfg9rJXHCnI/
Wz+gPpmZOsxUq+wSxmOxh6j5BQRw3sAeTK5tOJwFsyUMzMYZT2b7ZHDyrMhkg1lSxfDESY4gBL2h
zfNQ+hK2jP2+0zcOUImtG8rP0Kw0UOgutAVW76mNTFr0zBgmMi0kUJ31hHZiy8/tHMkRXS1aauLY
brYdyl0/tat9h4gAxSyL97mcqqMbQS4KB3m3jDbxNu64rHPuXr9us53JGjVkMuI3+GQhjtVXaL6Y
pvAV4Khrt21gTke9+9BM/buJcsfX8y45lTieCQYKfJvB4cOQ2C/hiBy+b44Veaw7qBwsNqvokIuW
H4vz27eEE6wGPdhyuYKm8cZgY4Q1vK1ordFSfNaGj5sgB6bstbsBTwFT4IVSL2fhY+eji7ORzpQU
jmGfc3LBBnUunZunT45VH7MpS/ZunsGin+I3t/plTDtCZ9CR1CyIkOOqZwGkupQRrnRuhPsQqgGr
FOdOJhwjSVgyV6BPHgRwtHh6N4MJjdAso1MKehBgx9lTSpdpiZf7uNIfedYgoCk0bUdWGErzvBGH
UYzAgRdhc9uOu8HrjGMvaCYDFwOzZnUnoPXNtp7wDheM6mGvGZuIRu5gLlXNWK102P+Rs1A0Ru4D
AUlYRXkBgeqhcYEHhztoHbXe8m6qDEzbkN2VYqI4TCa9oFOETD0pVTLPnc9mhEHYni3xgsC/2Ed1
Fawb7qzUKfWPqWMM3g/Lz5DMt24AQsP24dwDFHlq5RBRZYoUszmroqQnshpwiTnEsT+MDsH0ofvV
j/z7plHFWoz+QX1Z3Il1Y3aLZ/nsRVifzZjZh5z3I1K5Neur59FBID5nRH/3Eh6YMmHCRE2yys/q
sF9HoYdFbREIlZdSCbcfg2CiUEprRg8M40A8Te9ME+g3+IaeECNqH69/nGvnbDmFj9l0eneVUmK2
fzMaV+wMCDCMj2Cy3JfRtdgJWgfNaZet64FGLrFio0JoavFbBsTeJAMFCntfpNUPSeQhHRrKP0VL
sklVe9z3Y0GWXsXcIH0sRcxQbTkEyG22S0MmiBOMAdyw5sYTDUh1NdALI6k6sGC9DKwZj3bfveUV
gFFNCQqFrJ4qO8q2gK8Jd7IBtHbVT2jVB61ww/UC+mhrdsN9ijXxLiJwGTc6aRaAVzfE+AH6MCHt
yh9oEvgBsRQS6kBmq4xuugrI48jkAC17Hm/5F6T826TjCJ0Zl52nDOTv7Msicc4yGm44zE+GG7yR
JpOv8yLac8UQT8BzS+nR2dY69m2U3tGmxGQzEoASAg9B1lWx7ubQ8gHskrcjTkY+Qw4w2CHyQMhW
i8EaCr2aMFkUT04eqrVvt9YERsTeZkmSCBYP85GHQJmsouiniDqAC7iBrIhLiJ3JfxB1JsttI1sQ
/SJEYB62JMCZkqjBGjYI2ZYxA1WFwvj177A3b9GO6IiOtmwShbp5M0+aLHCIkW69vPrd1226cVej
i1dhzKRTOhf7jsGo5NOXYwx+sTdNigeQjBlUKnsXGgwOZQplLGNiH8T4aPYp5TGlKnZi4hkS3fh9
j+NI8Q4zDgej5+xqk/Q+NEDoyU7kbpVyOHmoJ1+8uooh07vb2mtvax3+IV/7S8+badIrYJM52q8T
5wtfP64ACyYKZY1f5ISXJM1g+VQ2i3aC/c9GyXvLsO+dF0reIrB0GzfI2Ias7j8nRxHEyMj9UBm4
nLhjTa390BYfY95clHWepXwR07JydUR6KBkJyVpD867hPXkL+dSBmdjiG7RxDes7MLt3R3zXHc+r
3xCeJsOy7SQpJGdiaTV+lN5IiLjEQmEKf5erjBxV9klpI17JVCg+Yqt9mRxaZoEY4rXU6jgt1otn
Zh8446YYSsxQteNGKwrN2N3dFE7GjdWqmlp13ixFxkutCkDglJ+6jGgV3WOgYSsl1D89CbIzKgM7
NYCkcsgbYejcDySvph7uRGQPIjERgpqFS3PrOGJfL+bOqtnFKK2Qpv0vFnL/HBYTm7Jkx5AFwe8s
aNiUmQ/1Op4GD6i8oJRxO7NpRrJgYFjXF/ouNz0Igy3LFnCXaBsyh1VA2n1LLY27MTJuWqCnQECZ
0bkvrT/GGn30zLtrH6pNlGGuHIfqufbcj85ECxw6rBjLhVqBl2ANfUTJaAUBYLzbC5mZGlAg9AEE
Boy8fvY9CZ4aQstHv3qtuvkDe6294/sWV6lGUlwVB/BIGg8zRoESfZgVF8VhBYpZ+P4HW94SffiR
HzQ2sogr7mrto0z8WagHTKiI8aslwcbGS95v8TLP/XvjANDRw3iOxgW0CJu4BVhCqt2LzvvPCb/u
4q0PPB7dhjr3bMZXhyuQZYzcN4F+73O+yjaNCtb6m8/yzfAK/TD03u8GTfVYlB2XVk3WqNBOPGLr
jln3xBXAxsrR3GPq4AFhmulcjtFjjwW3Yh1uN91CjIStJLlvHDDpcVkzvWNKvfS0LTW174EsaHki
55thhnOcwT5War6ExvBc+TC1VOkl7bhkT8HUsC6CX1qJfwjxtA8hB1xw83pSTaAxLEqrOkAs4Uy4
PMMjVKXFdfDCf8CTiEJGNwOY8dYUQNi4EuO77vCBhXZ1ssb6KwhgaRlckLWVg02qWXutd4+n81RN
69uUjQT97Fcn7Mp4QP5fqRqOeeStu4/h5BRe4hh0TY26HneVsP9MuHnqzM9uM6AucmngnrLhVpr+
U60pikDm21TltF8FKc+lAEgpHBetqT715IF4yKoSCymNGNw4Uy6fF+o2qSbMBcMUmS6Z5Lj1uHHk
h2YYt9Varqe8YDwvihu+r+/ZGx/dBlAli0YbzQGyBFlApHwCRhwt7HcSgPVwFnBiQFO/Zn9Hp/vb
y7589PP8b6DFGT8efGi3+gxV+DopTn5jqaj+nZZzhpxWCAvdkrpprz1UjuXt2c88WyvbN28uLtlI
rweXzoU7PkYkj6JWhSzqmzCzstCJQ2YX5eGPdKmMPrZqfZ/T/ndePhmR9brYGeCglJNqubu0vfpS
I2OScP9DicR/M0+56Xk5UrUw7oDBdDFP0k+OixCh/BHqg8Gi3DxMRvEliXFWMph3LkLtuFRP3RQA
QFvsXemCl7T1hEUWoT4B8JjqeT8NOHZ6XyJl9Xfex8T2eRzMi2mnRzNoP/LMVXyjiRL5UROvKaTf
sJhP4xh9jFWy8t4nQuGtezHT4wrw0XCduK6A8Oq8eoc0QgNSe10L6A6hoHdynfqEXDwtyqwXwxYa
2SL7XckCZttGzamHqrblvwZ8l35h2ekxW8Th7D4acr13tXePd66e8p/cjNOP/8dVSKyeAEeYHLR+
rQZsAkrYr7V6i3odhxFwc539cqpoPjW0hsdZjwk8a1RLWVT5xD0XuPk6O+9uz/aOhb0SinItyjW3
g9maJyXFc+GkyzX0dDI0ff/dDiauH5+gXMhRsytCtewayX617WyW2a6w4axEoDPcNjiT8Zxjrh1s
5+++lsBHdyVS56KC5MMXe9JDu0KUJMB8yvTMnA6lN0lVxfIb1PN26DobuxyvXNf2T7L1MOpK3e1M
p53Obu/+6mlDoIxotl4c9WWaJXN9xJkQKZO3RpaLHfsUvL8iv/lUbVI/tu57J+O8a1f7PBRzfk5p
U3GmU+0WxrXrqlOBESJ2BXZMnEYuLPIgJWHRZRfUqC8sPusrpbIs9q2uh0YNJtr2afdirJYPY2qT
fHaYsBqhEa5ygFJjQ7JnVuUFAipX7oZMomlyTVkM9xO4ZnopIIb1KYldKcT4vJbcUQGpJtSUM+TU
nn/Bg8n4bufVbmGRuEfn6A+5r6wXxgVu5O2/akJTuIOy+0JQmhRYt2nCKm4NIt9Ko71Yntkd+YDy
ayM6vrRmdlqb4dmhYOhAjujVz1EmsrDHHdVgJyBDUJw7T1zDaGIEI98BG31CS7aqKKFqI3yh8je5
uyEmlta8NIc48hYehYEKOQ7vnd++tAulcsXA7XtFyc7wIbfMGZEzv3vKwc4Wc4V9CNLm05mZzlat
/4UOJh7zX53mJzUQCpgDHhY4Nf69Pe2KbwiPMoRBwyRc0df5ubBOfD1ZfBTMGDM2/40ehg/mz21o
CG6UUl0rI/vnO+GFcCMDacYLMJipEyhs9613aYjNdgH94CBlaACxJ0qDeElRuGM/FHhRSUOQRwyA
Hwef44q5qOgIevTWCbxUyTJnOFdhSSe7Wy0wKqHPTu1Xt2X2QTFKtEfgJ/1VknoksPkRVtrDK8cL
kqrv8E8GJMPp0mOt4Yreyf3W+u0PBDM78QOv6zgL5bADLag4Wlxr21I1yI8Dh8biih2CWULCw8JZ
VtERpn+fVDXbAW35bFl7o5ziiAYBhMRm2s7GuJ6JiettX/cCwbD/mRtPxMWYuUwsEE8Snbn+dbCk
uZ/y+i+LLif1jxGdFteOXsPIG6DMDMSxGfTCpA/TqyooQwInEQfNaF9H0w13PG3w0xYv6WVhvZav
TEfhHcyPSMSmMXYM89UW/8H7SuwlFu1KaQQPTQkzBqGNB054A9F747Wa2uzi0xmxxd8PV7Cs/IMH
nJrKQ25woSneq3F1doC93qXp/fXvXgvt5QouK2UK6s5UogAg0e7fgCKaT89aqckUuJ4FGXf2vsFn
qI36ZAdyioeqxoSKDWieg7+ma+YxTTx/ujCfnqqw+smzMduHY4Zp0qyms3fspSxuaDz7SkfW1cgz
iw2NxoAaTGC0Ouu9oDth053duS0fWkDoD5PRG1dM1oRj5JUOPsoVxRktt7xKP1M8lvTI96VORt+n
NDASB+E6z/xxmcoUin8XTBdwrHrr9+OHg8zZG9Vt9sy3qYK0WhqA+NqKkwRzxdHr5nipH4IwODRt
9ja2j/2S7koxMar1tdgQJtQmCYw8wJEWymnr52wHAY+9ZSkX7pzr4La6e1i9+nQv0cxaIHZYWZ8s
VipsSniyveCMD3PrLQVLYVG8ZpA2oUlF7xmGNt1Zf7hRNTvbiF40hn/aRjrJi7w4Wx2QtznKr9Oo
KR4TDKbDCuM3KEAEmc0zfLSvSsocWQEn3UI2JTeINQFjO1C78C+zRpIAMO8rSdKJTQqJD/azLgQ4
OeXXUfpI8fgDD4HsHuwGHzrJjXN9s+5gMwbPBiBcnjTgGOKxWMvYs8BpMo46UfrL870wTiNq1riI
hehkW8ckFWF1jbGTgHVskw1zh0MAAyjRB3NLN5zct1n3bqQhCbx2Sg8t4s/9irvVxs8CyijOSN9x
YNyD/7U+hkWHtWuMG7cF+Krvv4zsn/ucH4eU4NZlbsKWzZTYF3h9/JGG6A7I+TRFYn9P6yV6xpPq
Re13PxHXnlrMSllInYjQ6i1fqYaNCm8fVFj88UZmu3GqPycqSbH38adEjPiC3M0QtkYbDVwaFOYZ
qAQoiOAVPjFBo9p6WnyuUZqEwsoap3xYmQk22s39/ZDVv4vlL/EWKsAl90J6grDL0R6ce0fdUN5a
V+6PNagrwbqaTVfD/mTKng1YbQdpydM446ssdiPaPipfpPmSdYSrc/sWuA0mwFQknGNcU2eLg3lY
8a9my+NIwmTDTAfuBdEzYue4l4P49C2+cVzPfrzZ+3LdietElb3hiMIwRe6QtnHMwznmfBBUp/s/
7FeIQYGhSxUbw27CEJuBEaBDKzWYHgZ+BvYWxm4uaSknO8tpqWOsgebG9cNLoSh8VRAUtshN26Ke
2wuXZcbJ4O61dINnJpDvGtDRLmummBskmjq3lU7j73JkHcPcgrWE67WeoPiPzos5tCciMWdrsb8H
13gY7jpkeLLLAjP47BwGCIebvhpuFmMqyuGj17sHnqrt4rs7i9eX5gXYGx0LdxdDARs0ei7wpZju
ep6AOyj7Vzra3MNoL96YxooEUduHqjyB9/uzeGl5nVOzpLjH4M1KOGIriienvwuGS0djDeBGcopL
7AzkN+m+LLYalh0LGJO+vmC5i2jectbU+m5SeTRNl4JOm7tIg9A8+O96jhI2vzvhh/TQNAuof+zN
LSZfzHv3KzW1nTZjidnzrgi4GRbF3nMzExNb8YWZ5jnqBgawetiyv2iB8NkO1BkDz2aYWFqtcGgo
fi/CIx4KFP/wRkB7qwzQM0Z/J/6H3l63FCAHLQBW/TeQLPwArThQjbknS/xi3RctXVALHRPbZoss
sQ7UqgDT7VLacIQE1TyDU+BvbZrisLd/Ox1/eZ38TTku2Mx82aoJrVaPfFOGXPB1l5daiXc7m549
k1fKrKgbiMwbROGXAKnQbqi77JAnQVvEWjLXWQKvrlm/BqND/q6m5a1vzMSchDwoHCMIdYDq5WJs
tBTHsezDPT59Go38HOu/m+lnQyIJK8tcD/C21w0tD6eiCbMdpVIeuBc4xHI0f/VreJlqeNlchneG
cw+lZf1rp9L3XNongn2nVvkXxsJ3XXc0AreJTP1TMdkvFUvzMhMMZPUvn+uJk37kueiPtVy5WdV4
UAwQmwwyAObHV3C2b/mSP+dN9rUEAgGwxG4m4TzAH/Ld+W9KZUthRSfMLREAV1bCkTGeLFaRaeag
BU68y0HSYi36Xdc6ESg+PO/9GWwkijMKYUNVkt9QrWg3lXdym+Ep4tPesxlnnjKBoFj+GpxYw54J
QVWnwZnK7eoimlBfZsR+h10okEu5G6RZ7Gl3mxNp+CdNg/BT0Ylk9r2veayDkx/gB0bo4b0gGi7R
I8aSdpkvlMUI7vpFvbMc49Ron/4hBpN4/pJufhMa11wEMtCQN5kBQKYJCS6jAX9P/ZBvIZNCg5Jt
aj7nDq1rlmpP/ywKZLAcKfR7G203fugAXr906SM5pxpTkNFs7RQn1mIhiZ0X2Lu7SKKwNuuIm4V3
1kaQq1o7Am937raeuq20gl0E3Jfpq4tIgRtvs8tOv7W/6Dt5lo39XgZ8Eygex/DBaRsNU7zOrLfg
Ra1W0CT+1OW7ovM+C6rRcMrhJCzzCqm/83ZBgIeWBQlqXckR1NO16eWwbyIYRetK2sVUcc+NcitL
bml5Nb6L+31biwmrNGO1hwCLjSxNaW0JyTvc+fp4weg3jUMKRS9yGdODbQYvqZcfh5VaeuBodwC8
SjLjlOYDI8nIw9eQNCMCKKHNzB74++kYzsala1Lx6OD13OcrZ3qUnyw3q/YTzo0YhfAqNSUd5oJD
OqwY9Cc0pEPnR/dXQU04ckn3QzWiD0RFmUxO57DwoszLDRQXk/vJ0xElcZhuBF2J+7Btur2iK5OG
MC6V6HsJFsmf5pWlv3lDDH7kYTEuOQtYS2sImAZOOaHdig3V8ocTr4SmTjeLTnO4NwqarnCqRBkT
Hr92Mk8Bte5Ok9nHFkfRYVIIUV7YXSJjesLW4QfugqnTRuM26PUWcjTuZTfLDshrcdEZ2qRraR+3
vL9emoGs8/17gU9wPM0mtRVN0P6b9KJOYZFdtQ26oKAGOpC+dWZ+epdtTyiv/hP1hAzlrF+Mwfwx
vNDdcbT/tlK63TrkdHuW1r7AbBx32JriC43jd74WxM4MsGwuL95A3XYmZuTge6Nmib2Zgw3pnsSW
IshJ8qzPUIAHEZhbEsynYQ4aegSs46TVo4XsdPRXiMXFvCsN0LeW8stt417wvU8PJVNbBBUh5bYC
wmkFHcvWyFNrR0QLwvxcmC/QIoMYfzp6CRf4TeNRjtg9LnR6EUnz/C1XvxBzpP9QcPAm5tB/+P74
28z1C7d/86DaF2E3CcJHsxsxyG5yrAM2NW34UYhyDXYK+EpiBenSi+mNb7hq9CP/z2dKZwJuNwV+
sUHTsRMUGR60eZXHez8jzxP+wAldIrLoEZQml8OZ6xIVI6HnvPlgfxir5u08eu32ezHVX8daP6AH
PaYFrFEflthmdpxv5An86VLkz3dHSO5SNsYf80xfPGtcfC0J2u8hWA10lryA6cSfdZgpCMLFw7fc
fgojHPKTvLn3cDtmwiIpfSEZjdO/a8Qn73U/LB9UIrMH8PkRdRvQicSK85315gM3d5x/C0P9mDmU
KOcV+Gz/nd3C1+iU3yVeMpzrclOZbAudWoM9s+wvL5zpTitY+rZlEWzoagS4OS3PXjmVD8a667WP
xA4lc5vZvaDak5+j4JW6yyx+38UIznWGPc6yMminBYvMwLxHvzR/kby7XZYJGBDFXHJ9mliKDOhv
W4LPwRuvunHrLjVOJkucW8IDR3ByaAl0xGxLb3HPZEjhA3TZzZ2BZXBePcwI77ta4tTxFnnNREXn
pGjv1YTmF3El+VjWRmJVs/s7Y3fvyf6mwvrYhO1y7UbfIDwJaHiiqGf2h3+dfFlMgRxhJmGK89L3
/0xUKHK1Cn+ISrux7Q/v5lAD1NKfrbzMGhPizZpMHggcRLNIBrugCcKPfnte+CWXNsCmxDeR/XrO
Uc2tjiWdS3a/f5D0KYm7MyN0z2Sdv2b7KS284KGtHXox6COAcfE7wJbGDs5nXmneqN0YfDrcVoAH
tFSw/m7dZzd1yhiSv4dazbLWb4EXdwzSwWSl386Sx5pjkJfMXY3xxQtZgvPi9Q9q4PSXtitjyepk
P4U91jOx6m2r7J/KZDvTe6Qxm3ENrzM7d7pp4mrE8sBmEBNq6Pg3q1INmfOxf+sa76nv+uY0+F5+
zdkpMI6XL7UzaADPk3HAmq7uO/WeVRrdvcWQ0QblNhUV0tO8K0r/njdZ/jg0I577qf3XrZP9lGG6
BErqcrvkvVRwJZ8o78PxV3+Pdkn0ygIYbmrCRVwedyFRqU1dVIeycM/kB56oAoWXJXSdLPbn0oxH
1yWgvfoi4OMsnsLR2/UO3ndfCXo1Tf/gAlk/qupZi2CIoSvS6etQ2DEbJ3POuy3A3RKqMb9Lsab4
NJDcvMz6HZKATmZaXhCEoc6nxQdlF/OVcJvdEuxg2FySboux51YV3VNHP8PWsVPclLXY+xG22CXo
vc2QWnS2GezRwuCp8MlUWPDpFIpLUBCc480AS9jpzn7ZPuau6Gl9rKsXW86fA7nhqaPEkohbmUGm
KYP+boiq4xLTwMzOZ5O5PVVLVvhrmpubFWBypfrEoTUQyH2y1OlzPWhgImmwaz3b2ru2fjTy9l/E
LLZD4Fts99yUENZoOJQH2GgftenD1Bjci2NgGOIOYCfgcfR2UvrZMsfhqB7ngv64AGDbQzZZ5j4g
/bWMNKOFKbuMmbTRWGXwfMmklLOYnnB4NxQvKRqX05JUUSTPudu8DbZ4rTLd3OTUJU3Wg/tqHe4w
a/7Xcz2eHQx4+8WNXJyGKFZRzhjUkeR9GC2Cv9iMscpYy3605uxWE5x3LLZKfpMSVsuG4tJBIo+F
SWd3m9sVNM0M01HTPvz/l96HgMZ4RBPuoPYqMOpLPpmaKim/PtccaOPgVYDLoiRPq/Qr4Fks3eDF
86z8OW2M4eyuQDjZ4IJ6qg8wea1HYmDiyVgLclbM99kjForwnRcuWiNAQOiN5fzQePd8mY5onZ0g
S4+M0KfcNn4Q6EzSrroBGd/eAD4u0CfZPUcyu2mb3p68J6lSjk++JMmuR+dvFFzqAgxO41nimH5l
svqmCfjIMCuufoCHz/Pcc7XMpOk7+weYO5j3O3CQzy+8kdGyU+vxv/A2fvAhcVLjBojSPLk8B1uP
yXdnGRLCfSSCsz2aE5/mvWBPDmtSUKm9Lbv0e6zX9gFkMXXoEdoG5YksPomDSs/ahW7Y73LTmE4R
JUOs1wBecSvgpGx7jwReKXYmTBUi4tV2BpN9LZnzgTHSOwNXz+KtYgYPUQbHtMn3/ezvA94Lf3PC
m2ptDr1fU9sxpP05XYjIYx1+YNWhD24ZEIIbGplUyBzbrsVbIPL1XlUy90cMdhx85OZJ9d8XgBS+
H22iE6bV2nut7PQ5nZmVJyP1/67OKxb/uOe0OIMEHPbOwNJuHDOUr9Dod3Vp/+5oYvrovIxse5Oa
j6W7fmVGH+z8ekxPi8uhwuO6q9IKI8N9EgQtHLsZTm/bYlHOgvXdjcRZtvVw4t4tj2t9z7Ogj+xF
cbVLw7+tU3McPcgIYZ/uFkrcDDvPDxn1etY0elfJcX29i1wx/fBMwwzd+7G3nTezCxtyhfwrcwkU
irUGD2suUZw7dn8Dbd7VsazwGFJuujxZvCmSsaVyc6Hrl5o/1mb2titHKFlwFONc9geTZedbOesf
c7n4K4bj0V4HCk1G0lLNesltzzm4nAxQNoYYC8lW58sPTmPn7Af+T289t1PdPfFJn8YKrxQqc3XA
rU/DlGeDweKh40ixr06bsrCUfxHQ5XbtC/MisjIW4+jEwdxSADcU99ZtBhCc1ESYcTizUmt2wxLV
O7jjBIVa82YWObIeijaEjWJvY5bJAWkPvX6cRVTsqe5FdJiK9Gmwul3tY0vPA5Jxq950wLUkPu6X
oa9vo8UBUssxOPWF8VBXzq0fcp5HX7eH1lw/soHTkhAE1KYmHr26TIwMAuzQPvz3F8mZgvoXUCcO
GWaj8jG7FmV+DDz6VAW6BbhE2FxhzUm1hOnJ7tdXRS0LaFrYu55HvbTuv7N8+lVoQz4LRP1taR3C
VoEHZRF9yPseDgIOopUF71s3QYAKeVoQRjx1tIg+HtkaDNtGKfsE65W7pUVbA5a/vyEyTjGl9hOL
W94ik1nt8PCKRBSFy8zTH6AyykM34T2pCy23U+UCnajCPWlGd2+7NAujAqh09V5GpdvHRVq3gmpO
5IBPdkXRwcFqxXZ+SUkdObuiuhuYvTyGFfNHyCnhVHG/TL/YBp5yj9GylrvcJ+WomnUDFcF7NgIM
85PPXCd8bp1IZq2tBDZdblkw2pM0JYyAm20DEOBN4JZLrAlgjl88pl3+DgZs3qxL4yQQiS6pyWem
+u5f6OH2yntbJ3WYUeyT7l3RhWdFxfZFYJjAZIdjEjt+cVBNDU04kklZt29h05P11wEQsZm0Rh9u
G5MC8X7B7GHLar4J0uvxitd8a0n9rwlk/TWb8iz8hHf9fFmcE+HpfocQnMVNEZVbeF/BPcmUn+hA
++XZKX6KXoM16kmN+GXgwuU16iNemV+qd4MPP2RF40rFLeb+r4H9a4KA9V4UvX2elH8nO/2hLXu+
OEW/XW3eo9R97nMaTwz2QscVbINZYfZ4aZlOcBiGmqTweMOWeszgDgKQ7d4j089jR1nPWF3eepsE
lme3n5W5vmVhjexjLA+1Q1WD9Zj15mMGySU1fbCqA1QY/KZ/26HhPuzVA7JI+wtH61WFpJhMehXG
xRzo5OOCL2j2DLIqmUH9EIChs8pUzqWj7z7wjjnh+SQYgd/Am96ACl0CTlYLNaFfG7FTXZcDKrnm
IYwjXY7/HHCi7TjdwjT9pIjQQze239py+qIgwE1aJMImu5sC7I+q8i4ZovjGobNzh44fuqTZeYsD
eJVszCcMe4ovXDfeSIT85T+684G5dDs4lTdIMfzURlkcfeN32LpIvqQbIGVljIYYW1CLetcFYafH
OvaUICWFvJhXwWvnDwZgKe/VLdY6ceW1kXcOAngwjFSP+QTsZzFN0kIlhg8Sl/ZxtcHMEMqtY5o9
z2OAShEKa8+Fm7zibDZHOaG+UojSnxrTQXuD+tO7eH6W4aFtBHwbiSd+AY6h/PEy8y6BFKRzcEwp
taulcwl4eA+wro145PfjeuQNsRotB9LuxUzzm1eU67sJdYcuD+A9lJ/EAn+wHGd3Q7lknSielH3Z
vOZrG8QypL3Czg66n0hZKdveDYH/aywrk/Lb4Sb44JCA5s0w2ohwE1Fq7pvrY1SXc8IiTB8tXkjI
z3eH9ej2V/DGDOcrIVaqOLmQpWC7UXIZPVsKLsMfwjf0NkgfVnbzFLgsDIB4b8IpyHGgh+uTQz3d
YF+KbH4a1/u+sci9pOnAf3TKtE7NKvON13vzfmDruu07AhG8VvwnGwcR+Jx6U8zl8JPtOC6YwFVU
PCqfXpHWnsd9pDoEc2CWE9awJFsATkzggXFC4Y3qNIoxx63FQhB3klL44xYaCWHKYcsItLS3QqNf
BF2RHQTAsS357mFbDWu1L5RdboTZthTEk9mMLAxQZLQmKScShNGWQbZ9dWfjWzaucQq5i1T0QV56
ayoe77soe6Xgy8IzalAVtcg0emoN1sW5DrPnOfViuJzRoZ+ym7nUrIOwUE+0+l36wWSDoNn2FROF
XQVP6wzYiuWDmT5Fo6bfiYbcg6r9T5LV1oFvH37kRj9xi7vHPFD3NIE2ayDsbynjbrtR1a5acxtT
EJbWWfvRzdIpiO5SDs+By2Yq92sXbco6GyHhxHUk/tOrOnzNejzr+CAr+nR6m5uaDB6q2X5DhtAb
NUAjHElklW5POMgUv8tUmBe/w23fds0c101qxNkqssPYsX+qb726NXoVL3NKs1xxL8Adfjv9Vz5S
o+No0kiWnzDbeI8tmVhjzOWRPg405xEfzQo+ZRTdekL4fGOOpMY3Jft1L9oYxUfZ2uJbNYyRmfjl
69J65YL/OXf0X6rOO9uasQkNEwQUJNhD56ZoPIOSPPTElyrECD/U3jnrSVAYPcFr9w7MonPm4EzA
0ikw0n1j/2rkxGLRm8abaMx/dpDyUjetr1VJ1rdzThhQeonfOKDNPafa5y3sVGRqgBfegu5uZc1R
lU+rlx+CmRxLWZA87f1fJqxZR6XMyiFQsdZ9FxPBhLkBdWBBNkHDMHc5r2DGK6qB08Pk4AcoqExT
FRm1idcLk/bO8nURG2QeaIgATOCmb7aNHNC2qxFTGISwkG1hlF6zlrrN1bjHegx4KBDBNl316rTd
k6ss6yiVz7mXeYewAEChl8lL6Cro6UmvaqpnuEE82ZxnNTrVoobPdQgStbCWwI9yb/4UHy6UwE23
wxty1AovHe65b0KeJl3YZCmb4iMCuk2KHKaWb4Ybzh3WpNLJLhPjs0m/QGbhi1MlNsYw6EnFlRxJ
IerHkF+MPiT87JZdYlqvq+3xLhK/w4bzix4Oce/xW45LY98KvMyxkL6duNwlEBo2K/7XB+Grp8Bc
yCvaONIXbzhR6eJxR8kJpwXLS9txtWjsOvFK7l8LD/BpoVazlTRuabhQhEYrRM+QahrFrYEBpIas
MumkdCOMAw7Kc6nlbak8/aDUVioWygVmdNP9qjrOfV/mT+EKaZsMOosfZ8bmNmG2rJZ/Y+2uOwa0
ow766eCVxTUMnq2mjiBEgeVvyf90q+0+TkXxNUg4FJKkfGHb3WnOFOZNqgYRvMVZGx1duxRA7ufM
25ZZhDa4slFZw6zblY2HMsWK+dTpO1S2g5yxQKc4yqKreMfZD0Zn/GMIpJyNjmaOHNwesx2istiC
m0LNFZFVQcJxzaBse8RXZDpyOcdHrQOQXOFSO1+OF70OgV6OXRGt21oLUCouhFJWDntLvMp2xJ7Z
YzMMh3JMfFLXm56I5B6/0I89hARCmEjscVAPUZ7+C+4nVcFgeaYb7WUMrJFZGqhbPSr7bRzoVzLJ
DFHFFxC8HIb5UgrJYiWFV7Mwzrsyyl8Ima9bJyOcLAQhiYCLT+y4AIzIHOSYSjNMCAtOREYTh43S
VMVTOxanbk73tj1BjFVYyBW4FvqqVXByxPrNAd1dsoFfQp9CaLIFDkthpu0wXc8wY9JEdA6FHeNs
sXiGEYD0EbDqRr50KH59rAu8E1Ln7WFhIXibpW3cUlrNyt7FnILvZtMa2kpcrHHneiESZ7Us0/I5
NJNI9Ak20I0vw5ASVPdGe97jnEvOP8jrRQ77wCIEbwXRV2lROT32wDvIu8Kj9I9pwx28S8cPU8JZ
dhfEWKRtEgZssVcPoH9q+8B+5/diBlZlM7ptTBm+tmMDsfl/5J3JctxM2p2vCB0JJIAENl7UzJo5
iuQGQVISgMQ8D1fvB5/bjv7/CC+89obdkj6JxSoA+Q7nPKd9KNmpOLK4ddU9aZH5eSJ5yoi7K8OA
QroU78IcHmvGG1fHZ6jRgVJZpSI9J2P97RVgcagipzL65kamCrLirVtBNQAUO4B3WLpcnxdMOh++
eL9eN5Hz5ldwGey62s0GjYnT8gU3NBIF5tds8QXyReizAemCuGoesibaZFN9kFKcKqF/wBYkx9D8
Qydko6DhUjJJngxtYtpMzQx1SChigIisSWK/++pdhNG3A/OYxzJWgiUFQLr6r1XraA2gDXkZ0QVp
j7QcTu4juPypDk9LNEaKKIh8j/ghqE14qPUqhYKfQtLAAxcchc7uOeAeNmU9pWHOXmpaHNQECYxN
6u8YoeP+o0/S8jF5wLD+x5pHjNwkE4QkOdN7NVReQOpImDCN9n0xU4L1kexznEereEZyxeSo7t7z
NvvGh/YtiuJ3FnG7xO73EJs3VN1Q4Hh+UZa0Icluxmj8sRO0n1fbzBoEmce+be++b+Cm59/KepYf
MsPDb1EhySb8a0iaCrYXS0kJlCR8LoAhln77IsANMj0nEFBerHmhavCvap8+RA4001SOj9pCEmg0
Pn7k8NlprIuOvGnXUetvADQ82vNzLvy9jqW1YvTOBZs8Omiz1v/8iGJ5KWHSbNOJqpwMk2QKXmLa
Eum072JmgRjRXkDjfKFwxoAWyseqGKnOgvyPq99mNrIrQQBGBaVEw2tLA2Nb2rzzvUR5GDTvSzrE
8r9+/6QUj3/bOlEjB4eix6yXLrhKM3S+OTM7ryNkyZ5sfvzG5lFvXkUVjQ/ejCqdZ9a2ptk9YLdH
+DqLn6qZMPtMfHqleOg9c9lOBbthZPPVoGdo7Z9k7u7/GA7U3Yjd97FKUVsPX/jOLh0JFevJ1M+N
9N4A/l1nLIQWu+nOL25pOXwSnXZJYkTGwrYPfoGCxrGsc4udyBPpl2/brxNCb2du/xR6OLlORljz
RFKO8Ob6f+Hsl5Avorr+zbMn94Bf/2cMwn/+8n/8/xjCYNmOD9f//x7CcPtNbMt/yRz791/5d/qC
+pftCuF7FukLYolU+N/pC575LxtJpVRsQByP70LWw78TxyzrXw6/6dONCttc/tb/SV8wFWFkFqZR
2zd9W3LM/r+kL8C3WJK8iv/MHPMcz2SxJKQnbeGa/y2kIO45YeyinXeFEulaLRzwgY0VTgPr1SjU
r7mtzwhsLyhLH+wBbpmdtw+KlTQCiT+Mm9aFgTfAFkG+DejvB8FjO4ujcp+X9nFSbcdDg3DvZrik
76JHCdHhaQw841S2DBqaiHPBNvoLkJd2DaxZ7XN/ALWJVK9Jw2XMHOKwyZ/MDlYAc1Z3rQMNNy2/
NFX4ChAZveQYPEvmiCuXXEFA4IwiiEWcxvkD4go6QEox1k3JOe8h2GO+YPIY6p8J7yg1cYXYnTQU
0/4Lz6Zbjc/C6RSxi118UqiEV4N+mMbI3DdDbFCT23eY+ultrg+O2VvPcDcQjbNtUUPzAN2qY6eN
IHqeKmurgW3YfkHJg9+67hlM7GJDxY+B5yOqWlWe8QowLdsVDkk+Dd5WqiiMN7YP1kzzRmvQ8CKR
BHZXMX2kflcji6MgsIhmMmlmcwRBQYWVvq/FG5T+V8B16C3rX2QevTj18NthsJ8jDMxt59ozPD14
SzXQOS1Nv5ciIciUv84bd3hHn0593++9zhp+dBjfELb1u3o0yoNva4EEvx+vlXBvtT2PD7mo4Y0m
Dpp1l/q+0f2T7po/pjvoI0PldiPdQN5ZGYudH3ku4n6y6puMKWpP1dZ64iiBel8iX3uwWTxvLWf3
l9kb72Zq9IfacYotlgc2U0iGN6x1j8GILsILsBpXCdFWDd1Y4efktZLh0yb9IvzqxL1A9MXVaTfX
cBxvcUDHUfchvIaEuV5sz+HOmjg/cFk8ziUxuQFS2myy42Nog+hicnCtJTi5qvTkDRMjaW5jUZzr
qgkOKmrzdSEzUm5aA5kDCve5ar1DgGftEbJOMH6VicKb0lWYnNuebYJXIPgVpLmN/XfA+H7rLYs9
dA27IUJRTOpwRwGJKJMt/xAQ/OkZECqbTJ7K0H23/OxUy3BPJtZ3hzkc28RzBH5XeWQJUNjcOl+x
WB6ea0uSZGAoEjvd50lV+Z6o1HYFNYeJs+GD/cdQgBxfccD9A18LW2dHtg+70wrld48lcYRlsWHT
/cniqthZfYu7cvIoLS28DNLwP43G+RTZgrmpamhpeK+6SjBwK4kvyHC4FwYYNabBaV3sQE0cHWHh
HVGUgs6+meRnFcrPjo5sBe6/kx0Snu6aSK6AfF7sotEfR8aEe0CXzBXYc8Gb0UHftQJ8RAGfjNav
pf49ZPq316jkXnZ4iz0ftwFN/E1MQj9YoxoOkU0+xZy1R1gp+akpZMXU8qkzCOJKZiKTZIWm1dNA
BXpmKz9hgOu6eENOazxk8wwbMst3qNTOlpMsUaqEh4mIkirK4uKpruvffv8SFKxJZ+UHx8r0YqYe
8RIILnOUGUgGuqFmB2/VJ7NN4faExXQenGGvAW7sBltjzoc1cIhF+TusOvtudGR6a0FkekIQ4Jmx
h08Fzf9LrKJEH2MM22psjk6A7bbLTokVZ3/Cunspwm435/VzTk5AoIS153r4NSYvUF7mv9mMusxO
rnFRVBQEFO/WEDH7daV97gJ2UBmF7a7xSm9XIacI0qRBzpJhEa7anTD8GK+Qy8NJldPKtuZ+K6pw
UWzM+M0neeliZjhIAh9MWqPVpFj9qWBgFUt+6jHjFYOICz9blZx1zljRbFrjak0dIz9SZdfulLc8
VaFjSae+y2K0NmVhJ4vKgzw5o9VXEbw7M7jaDj5raSmDTqcXpy4191XjkNUyiY8SYsprQ5iE+xiG
lfkdDAxHE7ca74XplGiASyyHpjceBFMDDtCMCGyvBFTWg2Bw3O8G4+0NobLHeD4oH8bFwDLW/DSx
XKYgk+OffMNk/DH256F1XxLmJVtCeqrTsszrykKwyjXEnmfLSQnGA46DnEFRp4NS5yqzvQ7TNYk0
TbLlxRCYhtrzIfVQLuk6/K06L4GsZxHE4VqSw8NeUtbxdHjyp5HaOTDWO9i1+J3NBCPmA0W1knlz
GQUCwdaZ5Fay4JdN/t53vFHRNDHTY8ZhoM9gKBg6wRFd7TvL4Y7nHUsYLasryefRkF8zhAkWGiuW
IThSOmdw35oE9FYjf0adjdd+ls9NA10VwBRHeqYPtBwVA1Q+RdFXh76R8U1VLEzCLFXbMiIuW8QB
y2SVkAQAymLttR6DkpzL5J8vrENxXo44YUrcD4ApnC83jJgqusy3A/ASD9j4TNSBU7zTaAH3YZo/
CPI6XwYIYPXgG295Jqk7SBeDl1Hisol7AoK13A0zUp9/fon8CmeHatnqdH1Ct4GiqZ7Vr85KIJZU
AaFIwOEYRZrwOY8IJL1j6IzDKbaaZCVUNCP9sYON5VsfWUIpQDN2VrMEWI0lyT5U4rtHdwvljsA6
Bg0Wi2hi1xij7xNhgp52UXnhnP9mfpJsgC5yUjrZA/4ZEuYS/ZiI4DHZiTl+1y7vg4WOB3juZgyN
xwhYbMdMFIoG+hezufU8DjfsPJn1xJtUGv2mnfEO8vRAx6tyRnWhXrgYYNUiou9Cl2xWRG+bIooQ
+YenIUte9b5w2kPTEgcz92xdqs4HxRQ/kVWRk1rSuc3JMUS6nZF7jP7oogeYTq7BH1dl/eyZkd6Z
73XanFsneJ0LtQZCN22dMUBNEA5MmjtJqScrwg5p+c4AsVhVLLSyEkW5gZdp7QjDPnQRrG2XBOU6
Me/IhcVqWm7G0LK5fsPxgUAX7xEaDNKj0UblnmPlqbySZ+zVjCr5VUPA2k5tg4rfrKNzZQL99zui
HYx5Zp5PfvzBobzYebLyV66Pl6kmvLNpsH15KOivld/uxm7+m0wpsVZ12FM2IaJYSJu4Xrns53r2
L/i33lzGKaultLUHz3vw/PJce/pxtpeAgdnC4Sqf/bZYUHnEZlgdOSsFGwa420izWSY2d3+Ywcrx
wNuMntXsuVCMUwLcDHjjR+o1clcMLM6rBCjnLG3aSzzXp7iZNwMajZ+chlM1LcDTCFTjVNs/gL5B
v7CmiAnDOvuVfAT2bRxjWKrbkuAzCNUz+WaZP22taMyPpu/eWcTPfIrZg3AhurLiEo94srxzFClz
bUSd+kQp8HrYRZRX34yMPxqXIl85WbOdy4++dKavz9miPLPM8gP+Lg9RXRsvhgTU0I/8y+xxh9QI
NynF8y/hI17DjmJczLrH2EPaTzUOIB/T/MvBVfrmYPYzBMojr5rQTBTB+BFB/zFbUT6qDppWOXWX
VjAyy5KyWI2Mqc9DjZNaqm+ekHTDMiHHJrAgPusHPQv1yLVqMWBLy9/LvojZX/FNOLpaa9y9hdtw
5NSDvLJ4XvAe2viq4+4C+tsj5MnvDkXjR3ueuAIcDeOtwX8mTnd4a4C6X1kBI1StZgershPvEWKi
avHEvRVZ++qpKIcrCtW69goS16Km3kM0atACuGCLRStfona2zoydGXHHkXzhZ79mTahOeR+dRZ3L
13nK5X35ldm71qvgKX6vpukQtcck9YgA6vQn4lDxqLOAaaAB/zMbFgs7DFjCa3qvxNrPH/tBipOR
uHJD4XBE5k4ejTvBOfJz7zblwFMSYo91k735hm0+jJOJfcbGuC9UDUoBYO0VaXx78JriW0xJdf3n
i8NKYiiDW6dbmqqxxqg0F/d2+eJShgPFXivfxnbu1ulxNkeJSUXml5Dp9JjdyOFSeEKmXZ9q89GH
73g00sXeHZjlLm6wNQEczlkvm+0hSysXslpV7TqLuewM1YBl837E9bEpLdSl8KTWdKEceTaWHkwH
7QtmOGs3jYGPhq+BCQFaSkwUOWPR9r8H1BFpyXwjYbFcYASu7dG9qNIz7y1q0NISb3XgTj8EN8HU
IFCi7v4UqjkWMUy7vi1+ua0P7rJxP9UA38ZaPquoH74d5vVXTjREyo9OmaN1sY+9weG9yKdh6ttb
ifh937hijc1I7ZzRJ17WRb5k2/GtqWiLvDpHvNAmrzXSgR0GK73VdZJ+Wf0XrGZ5THrwJHHU20fA
UTeUgupok12jwwejA7CsFDFdPnr8FdvC76wrynVtFai4Ot8D9dE9dQWWj8DOH8eEWX1H62BHHqQa
X24mMxSbOFjssckA5sNNzKMNqcZ/YBs8njPXJfoheuJQIfsZdvV6rLweEoc6Y9Gx1+O8GCinFug2
gi+viFJMGVV8rsFwIiJ4G8s0+4hE8GHwETzV0TycG6t11gJT32duDb/Ypasnt6rzM7B6f214viAH
rHwFoJU9h1Hgn4gzjTf//PeggPepXRW/l1apzMEkOKH1LqeMR/m+SF3/3iUxvWlF6q3MsQxTpjAt
1wdTjiupFv9HhVNrNm2sq81boFh9or9YZxZ+g3xkr8N1DJGhc19iM9yHCBfX7AndQwrYnZKiBQxY
2bxdCtR+28kZ1aaXXrVfnZuE7YpaCs7sysLa3doKHmyUJtM78qcOFXdTXV0Vyadyng/TJc668tog
zMI6jedeQg5cVAntta1RvhFuA6ooUfWq9+fxZRH7PBYegQNizYLW/MU63DrhSci52Wg4OIUfCXjN
CA3Uw2NnIFnrBaTCTBDXWLlBhmIrtsFuRdwT8xhDf8rLrdQYPvocWHUV1P5eiTJ6tbLpzQIb/Ez4
NQ4/NoxuPHfbCjzLGmwzyJsM32lRmjT8Tlc9ZK3cTh2oSV1klGdJmz4T8UQfNot011JsrFqjq/ZT
7hmXOpqMiyS2Ex6esjcyNNqVDNLmxriLka3dj7uymjJQMCgOnY43xKT6jWXoP3cieucer6PkPeaw
ejIbQiPiLIA1QO/Jkzfaj34RXnSWQnIZxw8SOT5U5GSbRnsvnW3657J1XjkhwJrW1qXxuPwbF0A8
A6rkkkXeY11P7VFraMWMYh4CiczVrNmlJolb7+wYvhq4FRbbWNioMfLiGVZe/pzaMEDQcwRz9ZdV
cpYtkhgT09fYTeWKH5n1gh6idqfMkYgx5w8qvoOuFJRjZ9nEpi+WYf2QMvExISZGVdB/3NLA+mKa
tDdtRC/JIj+shnnVqxEaCM2slv5HT9ANACNc37z8v7UHNChub2kLTMfN2msBngLAL4AQgyb0OEfi
XAVV9KZ5MJdgaGejrTbobr1d0z0GxkzajrY/CUmysSVdgwkSou8Uv3HZt5gTwzXjuvbi2j346TZ3
ThpHwSYAjLttZZe9THbyaTozbFE7zQ+C5/OZME4kGbck7aN7sHiQkrY4QhgqTyK8DVmRPk8asKhB
gspNZKwQmEDcIVnx/a1m/JXI/G1iurFNSmNxsQNeVMuXYRH6/vNLv1WH2BvwORWy2wWja98xmT6U
jJdOpTc9dJpDOq4s9zQOUb0h36gGTCjAYyAC4LwsUEKxQv/HTeGFprN1YgxGc5ajs6yQp7XJY936
7bOFivCE1gwoD1SRztL+b1tipPH8t5oN1JeI9L6fKrbnc2Yc0Tvp51I3744W2AMa/5xnjvtS9gxR
OgfrWnbrMns+prWMjxP6LhQYZHvV3StjgnmXhiRO8mTmLiuAEg4VSe5VEjLmT/EH6TEdfmUZSN/Y
kMFjjnZ/ZzvMVkoY+STUsj/pa9u9TYrUgLKKjn4w2JTLnv2YgaOVYrQu//xWrNLihrpsHfeHOE17
QroJdILmeVSFqE+tJ0nzAXtmON18iQwtn6fy7GrrMniW8+308afZmkDKwwQyUlrvGeD57wVSnS3E
MV51GtPFwxSwMcy+WPG0dRd0VET0tg4EoHgr+Qn7dzsNXpaTc6PYNKmKLJugjN+dKDq2nEV96P+u
ICAQ8eXpS2AguymiD7PAude1rU3sEBojpplMYQsKFoZ6CjFYyNalTKFuNqmRXawl9k4YIxeQt7Yx
TFkMPZA+4eUXQfE+v8msZNZcNnDqTSZkSeumOLRY6bkwW4q4P2fKLteulDyJMibPHpglQ8qHMG2N
FYEgGTZ66y8haU8JY+29i4OJKRDdiPKfo9gpP+tEtmhHzR09+fwYZKEi4Ag8FPA9JDfjqWnERUXh
Z5E7+bXUekIJRC4QAAy1KxOwy7015cdctV/OZA6vTekH+8KDA5vqfCcn92I7ffmnYbaIDN35O8I7
K0bFiMiW7XXGFp6kQ/WrjkiMdIMLUqt0gzNGRGMMs6WP16kATB5a+XSbK288DaL9auntlomI/JAD
WcnxCL3KuI+4s8+e9+6Y7fCsCtIQEsDur9YMbbjoqnE3kcF3C/Rbhuggzr4hp5y7qmgon2Puw9k6
aO7MlYhiVOtQjWxW26FCMxFlBgwWj5uo9HmQNx5w8nrJ2h2XGmW+21n6g34Hhk2Y7chq+xtOV0UW
jiJQTLPcpvZrJaoT5CdBRZ8bWPIwEpyblhKtnPXZDNBzCjx9FdEjsKqINMmbo3JUuBWBtSvqwj/G
UuKHp9M+9G5iH0TJBRT1XnNlHiNWRhGYpynMtvwWdvDWeHesAWzFQtcD1/lBDBNYdbB7975iJV9O
MxZ+BB7O1Bg3V1NP+E3HIzlICQlFMr11KH82Ts+VP4QNrOuItSZafJtncDU8uaEZUAnN1QLa420b
w26TmL3Y4Z7K2BBgQJP0OQKf9X2K4q+4dH+pTPbUcUrtzUGlr77ZvXZTHv7AW15HRvDD3H/A3dj7
r6ignlvADDnEPLIA0+wW4/6Fb+ndQmLZyzzMjmNzP5NsWLj4U2Q83gY/+kp7gBUd9A2/SfWurM38
nMTzUQcGlU2TFy8t3H63q5OLQbO8Adz/0Wov26Wlr/FjZySOOvpDMxV4mlsL0h5sh23Vsm6QVCEP
k7Lks2e0I5pJYJM4yq0NI5psLxYvUq3QITVD+lrCQa3M3iRdRSkkJs01duFPgd8qQICbw8ZYwBRc
1P6Z2LNTmfrZQSn3NXfcHOVZp3exYE8f+FZ2FEtvxXIG/Qdt01E2pHp2eX9X+7TDck9yz/BbhRf2
8QzjGYftswThVjpQzrko/e3+QTsZrTiZskezfMakFxy9LFy7KMVPOVdvKXpx+eeLnA6GrZtH358N
fHgBxtXgAQ7GsAREkdEt96SaP08NR6SGZfLvLyE6nqYiadoFpQiN1VpyhOEyyB96nggBYaT2TocD
JK+d8pwOEqEtD7aRbsERnM+ag/tMEfiLn0rQU/PSRiweZT29sEqjQ/EUJM+J1sydHqMlGU8l87Ca
xsY5IG4INsoHCcv2eH6IU3JDJRU153iKbsREJReVHZlrHVOPUpk0BTVT18kipCAMneY5I3N4Bf+Z
P7XJucAqfk/Zku1nWDM3l2ULT6YtrPtf3ZRF93Eco3tX8akVDoBn3V6ioRcvBvSxR6cDMpk0iIbA
RiDQowDQjWOTXGB9TfjXH6qMVzMWyE+DmTTLabadPdz99mIQpU5huffizPmo8FfnPnmNcXxBwkE4
KXLpNdJeKne5GHMTHVKHEsls/h1tImJWLb1jOrPYK0BNbTt6sk0fMRXwW7ASM9DcBxia+g7NwEYO
o74sKPOrRGXuOWGItA1GjCr4wGxA60P6qybLmvfWtO9maXwSJax3o4e0YILr8BwMBe2m492B9lwi
MyTJwglbyA41/mGrYKGTmhOq6H7Ve4gGdZsNlx4sL98JptLcHVt7qK/1EKGRjvV4wZJEPDO9E6NW
tkuc2tewcRm8TG6/bfRHQET1syf6Dah//SCkYRJu08sVnQgwprCIeDyVR25AojU8nMSeEOkBCcou
YWhyTI0R7G01HmYTSIUX9t2Ln0P35Yh03wjQIVSgNL4LvPC8L8O8w9NAmGVDRFQCLu4oSCLCj9km
aLaIVahEcooT6ZynyfjFPCTdM6b5MONsfNEWFKckKdlKCBhZ3O/pw2C7KIMm1iCz1Z47RXAiyhLh
rq0QI7jVklWGguwB33i6U+SKrS2bU8iDoUMidXfN6oZzA5X4tgi9crv4Thudxmc1IBoOWVNPY3t1
9AifINrbVtSeifa4cHsi5AxdBTVr1O+tme1TEoWNIPPIG7Hfx3TsV6m5KF+NT8/v35gDuquWqiwc
xVtV+Z95SIBgIV/qpVUyTX/auVVjXto9AtDurXT1t+3KU4+h7Ib339gx/yfDwyW1h+isQ9uBdjAz
c1yy/IoN2lcyBqvBOWcjlgzF6oFA3545n76VllfclO++kEbZXQtazQLrx69IcLqivuJ+lCYJOtb4
7Zpm+YQ/uHxyjdjb1LZ1LEIq3zwfSblp/oZ2vGwGi+FekXiImt+4Bcj0luEDXmw7TPe9rcMjeG0Q
tMWt5j24VB02mcb2rXUwnKakHU7ePGCqcQYwA6UO7zrhJrYHt0d7CribTMvq5rWWfWSKleHE0zjM
nCwhCdSBqxeI+kWPPml6nofEvAAJhGk5mQkRZJPVrHluMHikFTo4BNPTf4N1NLR+Ap1DrdlM+S9Y
KgSlZPKjqFzs84HcuG736bnMSRcqobJgEyjBboH0QeWGeymHZ5ZTLwLeh55IUwvds4fKKnHVe21L
Iiyq7Alz4xbVNCC13uLfZNk7VJqAoDBbOVSQjk/+8ZKa2+DfwXZe8cDpLkwh8l0Rma9WzKo5JD3P
mr0r9vgN03AbuiRGUCEmIAi03E3tbnq0RkvgQr+1G6xBtc/kjYgZYEJOHJ7vcxjHd5VG79mATbli
JqZMlMLdzOyDO6gk5mexGFj2vo7Ia8KQ/5NgujhWWO2VxwIhycbzoLq3LIyrdVC0f6ljzkTTr1or
Cqmdyl3L0iBAh78yFsZdpILfJfp+wy2+Oj9LrxkPGbDhYBcHwjsTWVvrzPObU9lQsnj1Zhyz5E2G
8hIIkJGYcwh4uJrCu/vkdUL4IqRZ4u8LZPssS/nmZ2a0cq2uge1ECRHp6YO0ji28a5vfDj7K3mYn
1qjXGLTeui3kOQwhEdOangDuEdscvVsAXTCF9VyTjF94uNQLTcF0cDt7TNY3pYQWZ6RMDX34Lp1B
MHE6YCSkSoqqbuOWzQt/jJN6NI9GxbImSbzxLSLwZl3nbvUkk4JU6JH2L5cKx5CvKiTIwUZ7RPwR
rvZ74uy7+FHfXDqdsoWb9Nloa/HeFOm3rqmjCYkJNwP5sFu1zH8ivFd7twdLOTZI2WKfu7iqRXfj
4mjg5MP/CIv+ZY4FYFgerKN07ogHn122IVuP/fA6zaruUA2GsS3wFTIxzwJoBk26oQlMAUWZ2aMD
fMOz/A+fFcUdWfZwtK3mE2fcK+HfLNBt4znE4Q1mn+CU2QyIZ7Pb5thLmT+NrvtUEg19Lecogpwx
PsMoI/ZN9yEDFUFbosSd5oxDqYOKLQkHXJn2tK1xNNwnWZcPE/PFVaEtig0osbQNxQtzTPDF5Z94
RgaMb1WCVlEmyFZCUt9ZVn3Adzw0JrEa3pcfMA8anbck1Bd6310+ERqYdo+xYNur7O+KGccIXQ8s
Ckw22VtbJwx3WgzguTxmlJHbswzm/ZbAe0oCy3rDy49ayrvHwhicRT2Sf6ubdeOHG+mRNVXnc7cH
avFNnMp8MmsyLd0uQXtBCkQbFCbjxRbMoMOyqtE8hGq+DcymiQhQW80bN/XxisvJ32VR5m1Gw9lE
VllvTB2+B5Q3TGT6BEteh8XPrBGXQnd1uxa3G8zvA4TldmRwHHfHKIzIWunmTdJMzN5c37gZun+u
SzQ+5sRG3mQSiD00SveqT77SmnM9RdgSl55zYR0F6sbkyA3C8Em2KQ4vWGlmxkS9b4lP79BzqJpZ
zBSmF4ZKrmVkz9RJpci+ZyvErYA3umFe0mtf0xKUDIMAOHo0eWY8I8gocIn4jD4m68JccCAMuzcO
2DNyyhP+di7+eBOwaNuw7maHk9zrm3aXZ1B4LCFP8zB0B3arw7omiJ0wCKVPnmMGuwKdbJQn0853
HLl3F0uEWxcu+zmDNi/6Q5h3/hJJ8Y3ap0NPzcY1qZpo17qctpaTNm+GiRi17h33AH2Q46RP/bOj
8y0I3pR2NPe2dm8tIAIwTk0VJCd4B3caneAQLmXuAEJ51zUdiCwSY+f8fUkZtarAJsCycK5y+VIB
WhQKj4yLtW+fScNYBT5Dw3AuFdBAdwRRLYZ7B1isiW15RJ97lDzndj5Trw2v9GRNRvinTOcnvglj
AOyTq478kCdq9WusrwVjiVmHH+MydE+1km9DUnKwhhrmXjX+dpAotHZ86vTogP33WLZX8qIDiebC
94rtmCfoTLnNrii6Ht2KmBvXqMBJ0eSnVVofNRPuxk30zvM5itjdr8wEaHDAukeY3ZtGibGqgu7J
wS9sTGy3heu9GvNErmkR6LWfcNl63M7thK/PAHhISGWxbevuO1YFm3i6DWVV3EejeBrM9K0BPZS4
7V9EjIDpScKJqt9zTB0dKpr9iVYktruHFK0ydffogesrqpXLA7+YeC7o2foD++JPNi6d2aiPpQJ7
1FMxtCaBUI0ExhLU4a/aV9YD/cvKshcRV5d6q9acm02u8e+XJOI+0Gcmp2YkNRNi18lOHX5wzTip
94EFCcrEDWxdefU6OE2/GDIDJGtKguic5Ke8wC24VH3/W1nZp6jFU1voHz7jox0gTeuNxt7E4Z1D
AW/C0AOgdoBsSxcSLkBxIv4guwXW2RDDVgg6tdRGBTED9gXm8Zuimwk46Z1YYwACR4wtS1JfSa7+
UMJ5DdALzsr9GaPpHGBboQxOypURQ3QsSiZXWqnsWqgKfJ9Z81DbqLF7xrxPJ5qGT4bIhoeQzSTX
MWtkhXAdYMd8MNR0kmPmYv9AGdM1yYkz1rgOvvNjebWx94ej4anuVmuE1gEmF394QtDiXHxr75Ii
cPCJe1rNTR2eK6O4ibhRx5IhACHp3VvACn1sSVIaLD4GhvYXnAaT1heCat/GcGLK5YFSmkOQcz40
YGiGmKNchA3xYKynRN7YqR6DPD3jwIlXlLycS2LYFXFwgo735UXV3i2IRkzgDg76jOLMQGwV1ICZ
Zn2wME2sWpSDL6k74JV5jwP/WTZivGmDisG3CV6zMEK6JFR9qoLxauR372ouuzXX1TvR2Cj66GfX
Y8N2s1P+sXYYNUQWFJ2UrnefexZsAuINsqSOn3BIfBD7pM82nz4dcH+iQj4W7nCIJWxvEFwvKqr4
qB2iAdgsDR4N1TIwaw4+PIZoZJNGrm0DaJP/GjoCJ9g28vj+5KRj4PfyTeTRUzh4nXjZ1zAv/voo
35zB69cjrmlmwuQ7lFP8I9TekxnsEzY8GJi3IoXIi+N2sPK3dNGKAR7dsPDo92NA6OOM1pVSSBXH
OsXH3hb/k7czW47cSNPsq5TpeiBz7IDZVF/EhtjIYHBP3sDIJIkdcCyO7ennIEtTJtXYdFffdF2k
SZZSiUlGINz///vOcULmnHCkS6OPrwRxO0Li9BFdo0fBZJMySxJnRZ7T35F4pNltSY5SdFrWrqVo
WsG240+Zfkgzz7jG9ot8J08gXYXW/Vy/zzZJM72icUkk8yNTjxMJgUPilY/kPnhBh+96pEPpV9h8
ew/8YMzKgVMKgeQjBdg7n6vz/UTzd9NB1X8ChnSYqha7lKM+DIQnowEddhA92PU6KTfU8Ye7AXv7
aIv8RneiTVwJcWREdFCW+TphsDrwKZduw56SSehzx/Vi6OzsB6DUL1jXOEtetQIJxaxGtl1zAoY7
J5PFR4WXGndiWHQ6G73pAIpCyfHSFsrqFL+XNoO/3nnTa1DJXlI2DBJhLxt6FuSOCYiI6o+JjHiF
XJQIMNbEugc71cFUg7xKRq5GdeEL4wmHH2jYmmmPyqodHVwQK3hkdiL2giIheKcMwHvQDUoTJZyf
GReBptPisZjI6twypObVy+yzqB6Zxj30PTEmK+K5xPqSWooLbXTsw8+y2FDSNgLOCt/awGFPMEKm
e43ZgY/LdXhSkzh1TW8xyM/kxpPJe9wTu65NyRqrJpWRox5a9yjBkE8y+vD4sVblU1FHYdDkgWCA
t9djEhJsbbs5Hmmw9F+VbB5nnzC2zkq45+SE31CdeLFMq9bbE4AdAVU1O69pnn29O0ejX2/IZG4G
LpTZCHvQQ+FESrum91LeiJSqDz85erq2/lLwYKim8Ef3rYXmj6bCPefZxG/jyrkmDhpmPujLRHsz
EsKqtcCDC0khMCQXpDr0fi1wnyafW6r3s7DEwO5eYHGu4Dmy4OhvtY5vZMQ6O69aubJaROqET58H
ezqmjdqbXQ3lpi0hPFsZxZlEHbSufxIJuBbkqe/RUoQzmcx1FcoJYqH0yyBymjdswvr1nyoGf5Qx
/kZpH3JR2bV//02ngvDX1L7v+KZvu7CMhO86zpLq//l+n5TR8k//Lwa9NTR+rCwT3h5QTPR+89H1
dnAyR58lC+Ba4LqNz2ZSaAHltZwhQ/USEuKiOKtW/8WX4/4/X44rTLYmnk8Fz9DN5cv905djJHo1
h242BpXFVCwluzMMFfi0mfJ+xFiehl72xeKLDws9ebM67UbWXhVorfPllpoPs0Tyoxuf8GPykjT0
zX/x9dGX+Jdvl7tUG/RfbQufz4K/fn3SthmjF+0cjLR115lLDEhaYQm32qJbi9dyFzPtWzkyvevY
PuD7bF8n98OgoLTy+hFrH1X2clhk1zGvyF9f3f9YtWb5D/25s/PHf3jz3r3/x//+099syy7ppqv6
aqb7r1bl3a+2D+mY5Z/8d3/zb1+//l8eJ/n199/eP4vlkdvCovzZ/fbHbx0+l9er7fEz+P+3Zvbv
zfRe/qU288e/84/ajOv+bvuc023hCdtxLMH/28De6++/uRaFGpNKjc5/Aq/78jt/1GZM8bvnY63w
dWG4nsm145+1GcP93TF9wW/xIvBN1/7vtGZ0kOH/8oLSdcNnrma7dGY83zX/pTWT6bzjiPiB+OGB
LmEQu1x/hNcNj1WitUFOUCgYmrl5M/JjBw0HfENZ7AqRfRB4Hm4pFKxM2Iyh/WpgbnkajfOckF8A
/71OvfZNgTk6O4ZNUjTtzlM2sjOoHFrLWGKVziXNAPtLTm0fudGjmNIClw2LhcTHNK5PHCfaIlvP
FRF7Ds9Bw3ZnMxrYGAhTMRRx+4NQXsWOdOC+UJv9uubde+gE/nGYbPpuyDkzOHMzBe2Mp6D1oaMO
FAr5s5m3rfrSfIBflGwd0nkdBZwYTp7h8Gh3xokKuWYZvJkZPzeOvQRcnfZduGyHrGq+YTZ2rzow
n7JSAKGrCRidM7Mad16pi5svXQMppOjzu8HVywuw+GqdL8YOY3F3eEg82P+CkIUiByBAovhgLrPx
uu5xWOwf9eIBUa6CIccIBr7vHQiGpK4v4WIOcVGIGM4mNk0Yst07odBmOZkba5dFTbbYR2Y0JKAh
XUga6ttaDCWCLFu7RIzEYi+R5Y2d0CFWaE04sjDqW0wndEtghR61xYAieumtyEwOqFHAEBxZUaQY
i8pNYWJ/BejVrCBDveqIVdLcOKsB00oz8bnXOHUHMRQEeGjwfc9enMj3t2ZHhTpbnC2DZRIJCFnH
T9mdjdYlr/G7NPT/RoQvE+cjbezZtPkX3ZbR0SLqFqY9kHOH/hNZQdIGXArhVjCoRClToJaxUMyM
lIx3HaqGOiOfGYX6IysQ/uAfjam/VCTWDkQJuRoqfpOIj7uYbJDzcVBlAE0cDMKuVXL69Th5I8Ax
FhMOYdVr1ig7MFSx9xglLa7FGHlOs1h0XBzkke8YG25oj2Bhf9BZ4yYVN9jk008CPSQXVPNpfTfN
TRlzHMJdSKIVdc/U6LRjWBGbHSXJkKEGcBrmwZZ/xA94oeP+Do3omiAEyhczkCoHjArJnr+xuAuy
nPFBDa3AX3wD6FzsQkqz1xg7V3Yt0w2YU7kKs/JYSdNiIYQb0mw4tjgqmIB7xKZGHkMwWojUNZcN
5+4FukBQ92pFNYFU6+ewWJCsxYdEkHQrESQ1iylJS7GpIKPa4TNJ0UqLx5G7VL7olRL7Tl98SyIq
Lx7MWCLO3qEceTuhZiKdkR3jxdYkBG+4FqxEanYkH4CT+WDrexRPOaqnfHE++cif8sUCVS8+KOJ3
rDLFamQ9cdbh/fIHk9/WoNonq4i/EM+0T45H1w+yzh33pyaoYnchlqoBxULIAbBD+eKqAtsgnRPT
1pptOFv+OoEYSWfVY2pWQ3cwhHyI8idPF/JmgI0c9Opd0t66C4f6NDk6NGqELTcZvmctD69T2OeH
OZ6cU1zCcrSBv9dkem6cyM4Dhapq16fxE1mHAdavum8hfJ4bCh+07qtu10JdC8kr7aO+TJGTK4pI
Zb83XaM9AQpIV7XdlFur0RBtmtzZZYILyAENGQ5M0tLwhRPIlSb+Q1bkLwW12V2i/zIxCOfoT+II
tT99kX13CDOglLQzxc3AYfdmtI2vqLrreVvsEktTW0+6j5aonlvmr4Yh62Pk2hbvj1ww7cNqNnOG
DXrbB4CkFyKQlrrtC5g6BX8U9k+S5RZb2RV68C4Qns6wGJTFzuz9ggWwZ6F8hQ/t+CHv8Yq4Z1n0
RAPrekV+wL+Mujg1zfTg55FC4XPndbG7Y2AfnxQLw1VuM23xjJBpcmyC+CPaqWfaCpBiDQ3oDlbr
vM6GX5daogdJASo74vMji7k7q5lDkBEjFKnYUDDGRIDU2R+GlT8mKn518NQEfRu7LB+Mh/oWRh90
l0UPV9jW64AvDgcrIIxFIddZDHaE/0o+4afJ2LBZEkNR7MElcBTzfxhOyYTlQyxyurypP1jCQkfF
W2fgrwPyyX+Y4QljRLLYuI+havH8D2+BdyTroQ8/Mla9awve84pz73fqvHFKoWK1qPMKHHqVaVJB
ndDqeeSyecrBOaf5g2PAemaqiIRv0fFNHJUxk7BlwdTXpOq775bc8AFIUL72Exzjtf9QLoq/FNef
sUj/Wh39XzmpK4+mdsuUmO+v/W0vqkAHZyCh6weOYc2hGe2nyF14qrZ84BOvolDeradbE/tggoVw
FOgIaZ7vyhapxuS/lg4xiqXe0S4KQxeXYbFIDS357oHztXEdonNhLGZT4kQ4tqWyNpZ3JSBf9mdB
tcgS60WbONX1Q6ufBmyKLqGsxCL+t7RzcmMb1Ua2dZeLrOrcbzZ+0JZb8ixpU18jk4FVtIwBYwyO
+aJy1CKkjjzBJv7Q/Rvv43oza2QWxcDPQ1t0kGBL5oAxY5P2zwJfZIE3siDouZ5/qSShObcNK51+
0UzOi3DSzlGag6rYRYuMMjdoq2pAbcb3emi7dbpoK/VFYNnL/lKzjt/x7KSriOWSJxq6S93NEf01
60YR0zNq6FZzmABcZ+S3ximCtMrkLitSioq5XnzgRvVKeIgJg7EUtmfNvIPYWYfj+ytEjMK3bDom
i6KzG7QiaKzqog0UkakpwJtsyfaosWPCx7jPM4g96eyZCdSO68T0ThQfb+O4MLmgojuEoFWhjUUc
Cgz/NuoJhjj2NV0ohl3P5Xbo4ecY6HBNTGAAfuMfqd/xth6vImztcx7OVCu4nEX5uVsQaFA7rpaU
H+GiNyVSbzOSwN7oxddpUaBiI0t5HvDpW2lfHBYr+NmBSudxWzRc3TmgnVqnNC+EL+/MVsY7twLu
WOXtIba/LI+1bF2yr4NokO9IMrPH9rIDp+qZHU3/yvkzPc4YXeMMrKmuiXiL6bi9EUl37Rw9XPeF
pu/DivKp5hLe6d2HeHxwow5pLOwb5iTag4uLkVdJ86kx5ASZ4jEaf+XOq/EqYwJmZuF3Sj+DZPSW
Is9XM8zzThb2IbLsS2hl7rObvmtqzLZUXBA7AzLHVbI1p276MRu8dWP37ISyf5AsivbCpRjbSe2Q
9vy+l+X7MVPRmnbsuA/b8gF9AnHEgcPRcmoYzUytqbbJTYqYN4mbFX4k4rPF0aqBGZkofC0JOxio
wz7nRwWvN79PJ+8pz68sA/Q1+xyOk8svOYfrVY8kuImgcCzW4EKVCcy0iZgdwOiJ0pr5GieEY/Kv
GIjfqfJAvyWz197UUB/rSRFW9PkDjRQz40lNJzJC29LO5MGkir0v4dh7Ux9trAnQYV+J6sZg4pA1
0TNH5PgQsQShvQ9juHqutOmReZx5tmP7W/jFtO7GBHbmlBIamIwNgMzNoHx1VKYVB0a2IFDmXD5i
YHTs+sZvz6EcvUdKhftosiFKk1MO4B/9SIa8OXl009d5rAGlSyF7dg77J1rE4V0nyHymWh74pkVA
1lKsSzhtnqxwgHOM5fAAPz3cjXl4hAApr4l1hezehFp1GvsmP/fLLyzTQ1enKZvE+WGKIp0AmHwt
TK/ZMu7LT0o3462yBkFMVP9BYCr5AaH0GtI7YrViYVMLtewQUSjnbZrOV9Jj+Ha1GMoir9cMsltQ
69mdUXITqXJT8A6Ky3U50zSlyo6Ohcf5WtKh38c4NFcuk1A6kd3t4BXGLjN4X6vMzQK0nnSf3Tg7
hw40/LwjktpbuXnPpPelzt3XvJinxzpW6aPSGFJiP+sj2bPxKNgnqpbFn1zGvbq8jYz8qhhvnnBT
cLjRxIeRuwPVPwLwohOY+FxX8ETw9qOi2j4XJjNflTQnelrADpjQPvvj+NiAF6J0CqQlF8ntXLK6
GlKD6XIb81nQE4l0aKYhFjeQ7ZBXhT/2Nldw6mwYpIhx511saTyjocxZfYvdUehi0+i2sSO+mPIq
tj9zp/IOjsGzBabhDUNdHDR04LaDPUdbUjx31PzroDKAbsZx5FKwrjpCIZ75NpjZvaEdOGpmFIxi
PiulZmzVzK5G55OMeZoLJDE3yOZY3ZZCR7Tr8EigfPj18pP7ilTiHuV0/khPLaIV3Nr1zzaa+Sf8
5pmbCFNrXmIH1ZrYKkYWV4ZJncG2Bqh9uhFko87hhv3MDquHvy1saonY2N/Glm5kplcevQ3hbdxy
esl74d8y3d3rkLh2btNeKVheGtxF3DEv1K2POQYp+njxAsEhGG25GUQ0n0LU8ksy1AczqT4NaYeb
xvWg92C0ZPFFV6C1+R7kJvNO/ZQC5n/WEz3ehFliH+w+LV56m/GXpBjTs+HxJ4gSRoO4HM87hz5Z
lSCRPOJPLbgBIGtc/Z0g7w3vOhKaDPvpzkS5umrH2QrG1J04O6P0CnW2OEn1LqTybjJnoG7Xmw9U
08t1wrQ46HltBGWtk37O9IRXt0bEORfvnctj0OSe5NpmuJ2hL54iUmV7uw3fmowHnA1W/Nawqv7i
NPOOVh63s9YRP2pXe+U06362LGe1jAKOn8OOloM0dk7GhwEje32T+Nyo8XU2W4qE5VrS7ziiwEK3
aREQQmdYnwaN6mdP3fHN554nR9v98Ct7uabjxqKQhKlH07RrpbSNRWcYZJnzWNCCua+9p1I/+sof
bytUBLf0vLKVyQEVo/fVIwr7lmrJdgQwueYH4L8QFrlGgN+/bELZjE2919ghzptY5ALinCoRooCV
X5XJjk6OvOllBz10pE1WRRPbQ4U+CrZntedzQtzGnDMds75mrNwOclTP49SiBbRo0LqhgBsKmp03
UPMcS836EZk/RWGLIx/ZzqaQkD5D4kb3THZOpWhJX8jZI4BHByMbCDOzxE7ueEfFd2lv9gEJDDcQ
0CvADwz5I4iZdG31nnhNG/lVSCpvRiz2MP31z4YMettDt2DNyxDYp3kOY0uuUqCVzxR24o1uouUb
LcUXY1oSqEU6r/BRnTFfufycCetFjqKb41R8w6AhEnTXmXdV5t6UhFGjprlF5hLdl1p9X41Xezbj
b1ONm/orR23warXluGOqn/PZXDHMyLr20mk5NvluOlPkwYlStPpFejPdXkJ/F6zMkKyQgLLLnn7g
2bmN5jINwpHVvGhtWr0qOjsL6K0fqr1WNNGTqlEOlF72oy9LPQBfiLqH8OTaNHpc9iTFV9BMa3o4
bn4iwP5dRwGnvuHZNPgI12xH44bv76fcTrbYEPQ9J/khYLXGdwSZL/TIwu2yc12a0O/gUXAyf2Bs
EN8TyWHw1XEAZgO2bTLNJEfIttZvQh7axBBFTI0sNGW6a+pFWsfyhD5/iu6uGpyDORE1HQ1LbpQi
h4LYYjxUFMi7kWkcJ5lzToV967c8D72RyYJnzSTOKZC3SZ0hl9TiO9MtTrKg/e3mZOiMfG9PIyBm
r+Yc7S0MRAtVkUdtSta5vnPaOFvAMuYl6/d8v+y7Jm7SszCdu3bS5B3tDX89zD4etsGYVqJKioDj
G6ZXxQhhSEt5OxAI6oq03ntkIjH/qHCH3hY5XYivDuKA9pR14oleG4tFNk5badMsN7OJ2mnhx/uO
kz1+MAWFNDVHxgAbBMdIW0K9OkGm8zeaKjgsTua6ch0rULnVbmpmCOuh1b1bhv4k5T3yKG0tbaY+
gj6JlZFqnUIsBy1VcF2mh3JqvHNJV1yGds4HPZjVLknYBlIZKVTSPWnQi+sIMXlIwwHLHLOcQtmH
xmr9zVQR96gtLajadN56qcY0sHV26RQiH0dywPmDAvgcHQy6tdtK3caG8RJnpn6M4hOX5+7WrynH
z0lcEpy19Pu2/sHWylgPiVNuJems069fmuWv5souArKqTWD+0AcbKg4TGwaq1cCnEC8Eu68eYhbl
SAgP9DKLG90XhJMMBopmhIbEm20GTZKvpu9ifc3LQq0EW/GdUdb+TmtxEnh+yfgkTY8hBw+QdU63
b0i3TkWRHyez8Pkie/9opuJT8yFrVkq8FMOi11CJ5GrpPeRQEsd51C8KAo5AUr32RgBjKyerin3o
dGB/u4X3YK5n3jxIdq2fHgbDO4mHAX0HH71TC+pd6W51a/aIOh4yy1UnDWM8CaH8HHb+iwKoV0kj
CpoOSVIjWvMslXGyJjs5ldpiB+F/KznQsDLclq08ka0tsTCvE5/d0ON4lN1pYge0BTzNIpE0QrkE
7H3T+QgZrmxotCcbOzcPOWGhg+n07imtNf4pjuvrcYocDsftm9HV/Y617+KPGlDb6GVQleMmqzU9
IHQImLnmyjUIOAHG8qrxWa89M0WTuaGTW4jinUOCGh41gVDWRWcTXuuLL/nOkEfNCScRXO5BXLWx
t4HfuIOZk61stPRrS0xiaxbMsP1IvOmR/JhJPdPsNu9tNh5bg2RoYLhHMJjjrs55YlUtrprE7z7m
dtlFOyUR2AkMydBV3bnwHuSoI4Kh+qQ74QXWX3+0fC5icQ/SI6OUzICl5nhSg6npY+7ITdei/rCm
7Mhzv+VSq8+MTFS8W4lV3dQOtwzK4OSZ7il0M3Ovmwtp0/6CHSTmJ0ZWtGGeg2f8LqZvuHGMNr5h
dmqfCaahSCkYC1dDMCXmm81w4GZaynifUegW+9IsTAgl4y4TpM0ip5x3RhQ6Z2kGyBO+ozQpLlOv
qcCOxjLQfHt8NAeeGXTHHmpneGScVz5M9H5c6go7CW9lM/qcmFEVPEBl4vQUS04aKcEoRcB4I4rR
eOMCsbXD+NMoUnXuaOZepa5bG6he+vbX305x5W873UMBNNIk7KOw3of4LH5086s/DuZNtHzJhRMk
fhY//frFGLytcSqg8F6jNItgzlJaglU9bqPGg58UTcQJNQXxPlcUKhltrMYIGO6ou93R6XHoGB3X
cV4iW9YBw0a6ih56eChKQ6CIyrOLuRykf/1VR2TNaqpo76bObUac/uTAZQWROrsBDYJnfyIiVbMQ
eXA+2N93XDIjdccRfZ2Tm6N1YnkvdOdBPLnA1LKpYo8zcAUayxffhf7BnLSFP1M/zpo2HSc/eXLn
WlxCJ6p3DrQW1zGfUDtObHZu85T29uIwZcpd8IPhwLwr9aV1kM0Q1QEvkiYtmp3pgh4aOB0PCZ94
OiLNcAFighqdykrj8eucXXbMJGJHbx0KlEuqqY5MhvQVIUcuas4bOTd5jUvvQ5flcBEp/Zl8OLm9
Cy5Cyea26xtvpayQBDlb/IAXjNzGuvtopuSynMlwiIVXhHCmhByXqUngq/MBGG6/0gbff51L/Y2e
SIIDYDjPNJbPUV28zEkZcxBx92Uxf4FDj67WEB5U1UZrf+ijY1FI89UHfMfGwurqPQzlBzBJ6vTr
l4F8BfXTXN+S5DwtIPlNFGefXTEV59kcLo5Xay8p5f6pnJvvNMFJpwDxlO4T8+z+Nq46m7hvSJI8
A2hJ6mHLsZRHikXVQ2n1pq+n7OKPNsgeFny3hgSUZNXW3h4ZF3YQVrgGvHqRn5yoqJM3lGV9smKO
T1wvtp3NN73SaiDFYHF71vcHigwoC4ZU26dWh1fMK8a1oI1kDykpNs1UW4YjGQUTHtdyrJYsUsuR
yOEVJJP2Smw4vMzw6nQ7jZeg5qrQTD7klEQeN00gZjmy4TZZEpvwjzGuusq+sYw3S8sGMjfiMUwm
6z4Hsb2ivuKctQYI0uSkbCeFxhhnBKd6sLr0wJ+Zz5++IcYUgSPtsCbSSeVSE4Ek4p9f9cU43TsC
QA0ivWPNrGsNUBQ1uaM9a1ahYfGwsi17o2jTGUOyZeSuDnEqj2Pjz+/GdMZrxYdkWd/WJQBet3qG
u7kiZE3pfqT2ZWbtc6FzCrAiK9slhoY80JqLw6B6ziCDfvaUdi+q0jnUUtdOeGpgILFTdGzOfgpb
gzBYHvite3I0Lzs6QtF87lt3BQiHVYtBapYH962IhHlNlEOxlp4mSZvoqRo4+nlJyIiG8lIxlfFN
o+O18/AhUXezVg37jkMIGoKdwI7wFa9vv3qLZySvSDb0Q+YzJZaCZl8FCKAMp2nLvK8GYQ/uhJhH
QGSI+EqNC9foJp4EZmXsTD6DCWgRNIY6IgHiv/Ro9/AoL1Bpm+qKxgdpwNUp34Gw//RxqeFlf2x0
jI5WLa/KIZrO1YIunbNjF1BvXYPXNHG0gUcF482qUfoGqCu+pxESUtyZGZiHtmiYnhVss5aTild1
SOxju9jnqfocpH3G99Y/uuk8MV8Fk192ngzcNu72ieWfaOJGty44dtCKhrsLKZHtqokUVBUO8tTm
5bQqeC5f6f3xZF3KETOboSCL6XRmi4NPn5BoU0J5nkIPLYywf/7Pxj/+nP74j+Crun0vvtpfuY9/
hkL+EQP559+Cef1TLOQvf/PvxkD+0wDJv5kRgX1KDuc/yYgkxftPmqh/u2veP7/a+C8Bk3/8y3+E
RfzfhfBs9nw++hthLWmoP8IiNjESrkW6EFxiaUnxO/83LGL+btDAg7tKGORvbaW6+O+/kSAx6Y+S
InF02zVgtv53ciKO/teYiMMW2yQhYnie63u6Rwn5r7mjSeuIj2RIcUnyqXU02vWZupu3mby64q6q
k2Wzafz5VU6wIGpxQGshbwMHP8Uh16Slry2zWM5wQ9O/8s8330ZMvXBoxuaO0B6ZwNCqsn0Dv4Hl
3YT7EL7VCtgCJVIcUJRQoiIYnVS7DGkU7omULUtXC27ciKTU9UI8TzbhPu4XffyDtiAB97S3qOGH
Q5ZuiOynAYRngB5k/58ds3c+obz0u4Gt6odBz+PWybokEJpgDFfW/d4ou5ExdBMe+lhal2wGAa51
rGxryacAMMxh3viUk7d4RuZ9wltw4QsYyX2hd0a3GgrL2XIDqB/jZMkbZ3lhr8Y8wfDEN/nktX62
Hy05H/iEBbZRz5PctRFFh86w9Q21REXULy+t70irhh9TqmW32WAgFFVIdZ7V6JB8Idz1HS9zfwoR
5pUHYk8pzNY/Z9ZNz1WdMJuBe3ux6sK9cEPuj2IuGI1CWN4JoOf3jLydtVs1HeT8dlxEoKWPi6CP
78ahyG77oeQGF+c6DiCrLzfSpPExykjec9mPNwJ8NlcJPfuJN8N+rGpBJZQhqHkxy549nSZQsfex
Q/wRI9w9H3r8JaOSOGCUMJ5KFp5nw6kGDEn5dOfSSQfiQxhqF1oO5Aib8/u2rOb8Tg00bydRJ3ei
lpJssB5Ne51k1UnRxEFLVHHX6zNgOzG+zhyyLvKgsMDJG8empFU3JduY98gRSL72SlEfz/SQ6Tpw
yIgpch817UW6JmQ9Sx8w1BskLBmAtYWPPLEdvu22ZCgfw4Wf+MFY43EIoVrbHlPSebKsq521UaDs
Wn8oexkO+zEJOXooB//plDncsuKKj4Blmebf1lEGfdclXIKI0ICus+YHUV6NpFc/Ysn3FlR+ZV9a
mcPxc1sJCVSIppMnBUWBmmTXjXu8u5O7JmfofWQC69OKeiPoQVN0zP6V5Uw4Yooa7VcpgqjNBOIN
J2fKQadjgCvKFmBd2glRmq6UWG/0sD0SbyBlkQnHP2q8IY583XTvq6xBxV7hvmT9LzSiYW0/n0aD
VGPua+OBSHK4z3qUg1Tvq6OoXOsOcndDmIbGRDlW7FNbt9RvQt3USZ1WHbb6ghGD6WYyaNq43SmV
6N+15aODYTH4M0m14TJrc/SsAfF6MPgqnHWv8vGep4lGHUpApXJ0f2A1QiH3lvmP2pOSyG6Sqp14
A1qGQ4fQMOw7VBvxUYayuO2gCyw3brf5EDINgzmvSXS4uvuamcKGkDyQjXQjamt0+41Do8lo2cM6
/WPkey1lALa8RCaL+XGmeLZzndF6wD/k3MEDQ8TRD4xuUvCWLxBKQPpPnmgwxTAVRyNCzKOoyr1v
tIRtPUOucn9M2xsHmsHW6Qd/L5Jq3ho9gJSSFBY8HaNhu1nUmnUhH5Ttk7GhJOA4EZmWSOebN7mJ
Hfjc0sMVBSfz6DqSzpY2eYfO8xpql5rGmpmy3RYe+3yXRJr4kYdN+uDN6XBkKhud4llfbFWW51xD
JYanPIQ+xU6OwZjZFN1HR5HitegE10eZjRtPGA7nS6/cx4isEd1wyjOkT6NbczE5GRP3Z0R8vKAI
gHOEQ5J4M02lOhJCca9ckyN20ibrotgd2OpYHExa3ZyiDVQkGnByzHY2EUgwLZl1rIDj7LrMnF4A
QWtgoGcuteD/6q1nenwqAKyETMOqmk5+s6/8iYVP5jPOcRvbO42NznOMzVJOF9iKDjEeow0AVFJ2
uiXJHDaQBmPG5z8HPhBewlY0X1lXm5sUyOJ2doiXhJZucwN00QOlHG45YIO3ITfJcJXHqG8wWMEk
HHPnFv1IkA5OqT3vwrof3rxaHx9FmNnHzqejTbVnOIB2MgOi/uFNZXk2dB3K6QYgjdepU+px5q6R
L3ph+qa6fLI7blCrxDGLz5ZZUUDGoLjHCNNd0yQrWQuz72HDWWoVxejeeJy53p4GlN0RE8rcYh+d
AA4s65KfZJyXRL4K4ZQv6aKBCfn2wpgg6Y7Vwc83WmiDLvN0vz+bbjy+9vpC4XZlczTYivFWIBlH
QQ0ahPLSU6kPPImWorJFhiBekSaxA9paACnlzICZz5nAZueyVwS9bfZBRrq1Uks9FDyImSeHY7TP
hng8j/rUgDay1A3FfVyTFMhWPJa95TsDDNFg0YrZY0I53OcUhld0/+t91ITJc5RrtJ29pC0Lpl5x
TxNjGXezjnRvdclSSVONR/W+ZFhkG/W2JFe+nWJzDIRyEOeOuXhmVMiyjOZxy0CnwIhiscTl+s1c
N48ShKJxGVvsHwwWlx4Qqkfdcatq43ZFQXAmq9RDwlJzE2kTw0zZAwZSQ9I5G6trPDAcIuwe/JoP
QyGM+lINxEesDNnHvOE2Ye0H9lR8JigDx21dwRxqU9He4DutXkYvkcimjBTOk4byofQm90W3R2ay
rDQDzZmHm76S7C7n1r9vbMffKNlDuOizghZaiz95z7KkuwyzG53yuJSvI3l5zNjRfII0STpQy/An
UR61eGbJxvpB4Cd9Lsco20CvtA5sbYGej218dnBOrL144ciEebEttRYITEplolSPOQG7FeuOGQel
dO5zeKAMOal0rkseNBv+dZVsitlO7q3cRVoepbF4S2q2e9QOs5te2IIJQjH3XxNxAea9fAL6s4wf
5mmBNRuufcxoWQViVt65M1kyV102XHwtFWsIkfSQC50W+QToimpPQkUaGs94ws2tsGjbzbeYrYog
UtOu8QKrIGfJdmPrGfCAWNQkO7Ume6gBiG5ZgVGMx6oEmKJPgKIvb+FVJxI2CrAXOLRO8phZrQrM
tDIvcPobglSFmZP/rJN3zZ6LRd6Yy60/sHxZQX00wFlkoLAp+jsQ+XPI1SRUy7SBYMBaECdceprK
BFCTNbs/u1LnyEH0mXaHSpgdGqwfWRr+H+rOZEduJN3Sr3JXvaNAo9E4oIFeuNPnKUaFQhsiFCFx
nmc+fX9UZmWlsm91IdFA495FZUKVUEgR7k6z//znfEcHHNmgvcZFWRImgQilRbK6uvCabskECK7j
L3njWapvUjVPdD+27hrvb8sMHvRPAGryOwv+A44XjNIZbh2KgzUQjVRnjmvgiP0q8mPClMaQAS4o
G65VyFjUvsbmso8Ed7nSZj+nhtIiYt5aFHqtYk13HjUroGVITeWz2frtCWdod9Ani4iJshr5mQjT
BOXPUcRbQJfm/OWIf4OAVHYZ71G8aY3rGh+q1RC526xJQLD6DL+Z6/uPbZVldy39RkD1MncP6z1b
93b4udKV2pp9mz6CEVU7E3bjWdmi+GyENW4IVPhq2wDg//an+ezut9aIP8dSDHvxvf+zTeL/HHjo
tPglCGLTQzUAgeae4q6c1gw3CcwPDDJYc+a0zXdA4vGUEUBacfbjsMHagq25f+r5s1YV+3JYk81D
j3C+7ud0qRfEzRTEitkgrnDamP7Mjb+4UKWzLfhs0PjCx7kfxkPd55ewBw3ZlKidmbb4HC333GW4
Kmd9hAtiyb0xjE/9aH/JtSncZlqN+jTC/3uvcHyBQqqatbKdcU2hNjeNCqHBJeZ8dNxQI6fYDFu8
V/m5IGng2cUwX1yEk90YNvbDOMvs6yii8KPOB1JTAUcGfUSoXXPnNrw8+aUFPUbauMOQYjQk+8to
eqFPYdrqXVTtQwvNc6hN+4jC6n4kmtVxHIUTWSvN77bZ4jlZ1Y2BDisAM0dhkn/BbF57VoTQSyKP
hSowg0kGwxfJKXkg60gbwHKIB0Z6cafIuWEsHAgLxcW+CFnFc/i72HvBvEVdM9+pcdzNBmX1bjyG
YpVJa9r5ac42GI9dCXW7KL4PWG+veTI0R3asT3Ojs0RnxmMNWZliZYCSOzCd+OjQXC25t7V1bW/8
EBYCCyf2t86Eec7i7fcFqQiWtDPC66eZKRLVrS7m4QtrlXAzsSpYVVlsfEt51rEmBYih+bNOHsIX
zs01qW/j0AucUwX46DwPtfFoiZ4phCptnAtRn1IwGSfEDfRkOAEryC6WxrIYLPjTnGrHTAD8ZFgB
wL3yl6t7jTvwOQJQ+FHVefQgxDjVVLA7lJ36lr3GehcdxlirvmmszaAIwaMNnU7/0gd0X1XLoOCy
qvMKwhf7RMv6iw150DO1Xu3kND4FcFE9n0EAFkZVultZjxzgeLBj3QWHGIkMPzE1ILXjfi2UzF8z
LlWHDvQLvkIbpldKZhwwQciltl/4zhG9W3ZofmRpMnuE6PrF2fKdVvvgOWyHbgZJ08cHkI0r5VN9
XLZ6dh4oVflQpRk8jxS5M+0thIY2LYC8hr71NA7FCKTbqZpTklG+AK07v891PYSjQawrWxEpKD+0
Mr41tYZrAKTrtitj4zqDa10cUot/WNa7UvJdSsOaXixg2atId9Nn9dtclxUPlTGqLXTP7hlIQ/rk
NzTsDQMnknQF0ptZTRtQJMGOUoLqi1PY+ueuBaRIZrIBbTntijkLNyNNM8/CmdwrncTU3M1tslZa
P4NREO2XamxJMYZxcFVhom781B0viUV37oLJ3IJUoNN8LoZLnfBWKRnmDaA5FInwfiW4bK/Toj5z
R8QAg531Pf35kMAcZm6ipPiacelzlH2QWki/yKg52EmSO0x3zG+Vw74zjWiXGukEbOSlTEe0ZA23
Bny5M7GTHQ7qQ5lCYOpy6x1mG9fwon8QCQ90BxzBg7EM4//mofzXhh+SvIZuIpgJJci+OX/JCvqg
hAfmPHoG6sDAC50GuJINt6f5K8O8daM7nuV0ZmyWVgFDyGa8StZeX9q5H35wEe2AXuc08wElfWae
psu7TaYlYuyHZzepaE7NOXU3zOxmtmmho/grrjrJQ0Q2M7zIsJH0WrPMtw5xBbdCwImsMbRIzs0O
zf/rv/l2zV+OINsUmOAVOABDEEYxaF769QjCpGD4vilRsCcM2sqMrXfo79i12FNOzC1sivjAJK80
LNff6wRktRdiyblviEm8xuSonE1qKh5ClPEKPOyl+U6kQA60cukdJxZ5mgA/Vgg0Jgxirrw1mEgy
y5ZzjFTBkqKpB6Wtf35Xv8uwvx+t/6Z+6xK91wVV2e1fxd1fFOD/vKRr+YP+q+m/+MQI6P1r/ff4
lmXdf/yPt6z8n/9xemtCHmq/SMC//f7fJWDrE5tBh4eE4PWnIQtN93cJWH7iOFamQwKUf1nOP2u2
pPokpEu8yHGEcpGHkWf/IQQbnwzbgoppClPqBBDF3xGCTfmrEKwZwsSDhTTwFwE4N7pAdByuu9oY
jS2zsPhcmeGy4Yv6a2kmmJ8RX4KvDlF94E4A9LbY1RBaSHAfUEKqLT5ndbUw/XhYrqHsjLGO+lng
xHB8rF2x4WS2p4xx3MINo4EvtFlyVXDKBx/nfVVQ0ZkZjItRYWCDXoZNoxns3TxYDKBKiLOgJ+NF
seXlmkOyXTZEEFIoEUeXANohn9m0y2W2zYhoHbOISbAsIvHqLjMwB44d4UxeRuMoGd2tg2C5S5bJ
OV9m6GEAREGBRJC8D6Mlr1HuMG/rDMwrIwNLu+WpbTy1y2gOekCjrYJRCQ6yrxdP89yMt6TM8h08
WWM3Lafd0CRXTp/0i5a38GNtIiDTTzEAg2n3FFvRSDqrai/zbBonNZbT1RVWeNDBFe6wtEc7segM
iR1OT13i2vqpCRpfrs2fysSYlCi3IjXaa15TKQ7Jt1sV2uCf1CJsmMQsOLONCpcNsgcdsNJzFymk
iPPkhWRA9u63OIZIURpfJtIHn4kM8NgheMyglrpdu3b6gIduVwIN3Ya2k0D6pSSbykenRTHTtMwe
L7RumJR98Ny9owoLokjgtubn3lgaYn1CsfdD4aD2OeP4bJh0QduGBiHDFMUbuQS6HjpZt5uGk2mP
v8C4l3bvB14QdcZDX4oRymSB9bKH+nivpXnGBdutyuA5ayYqKGHbuNp6tkBvEhWgOsULmQI5kKvw
ThkooKKsmZ4LnBeEnGyNbSR7uXJtxI46VWBGTiZfzbirYx2kWDx2RH4E9g3kd2t6ygOZ71iu6djh
S8KfLUvTzVSSKlqhGisc8iLkjxe8G8IN+THjwbYa/42nLjvCrlXqNGdAR8HtsAw+a9Uw3im7HZrV
7JYi2nb0XiITWOLCVqBlh+lH73RQU+NUAzOABSDhA2HXxynYF8RKVhElk9quwQjy3Vfa9CanJPls
96WkG6eKje9mKPmAhQGAC68eQ8CoozXo/JRw8U3fsj53JCBLE8O5A4ZjMfArWhpV1vtbQ7Md886C
dZ143eDMwVuXhM1jDj+FiriSS+SqRSCnJI63DO4uGlN/DEDuIQpEQl9G/aD2qiBfcja6j9FtsgNS
P6nrPvRWD5qDnXjDyt4fCR92efsATI5pSjjl+JkujeAtrIruKyIH4T/U3PvO5LBN694FZJoVH3TT
EsOQsKrlMuryQx+KQZx8Fi0AdmLN2Zku+wKW7m5XUntqyntVdvkl1SoAeKnUIu7japQfmH+d7xEd
cYSFEnzbaJtRfQdZujvHLI8ItNYsYtgQTOZXrZ5g9mtRbV5nPNebQljxzU5E5xlku75il+v3KV1h
N0PqcifaVu59unrXc0+Cz+loP2vEGLxQCpI2S2smUhn+2Hqd+eHotRXahc2+n6Rd2OSQYukf8lIY
6bAm9MlIKecENNzLuezXtabTfV7VbAo2fgr0jOhr8DmrO5d3g+4AWUzvufskjNKVziXPVNsKrRVQ
r53nL87QglFWOrm0rjPfVanh8ysEgazKsYnjqPlJRgHmIijIVNuxnjMimGGibyqPBl1jU6Gpb7D6
R1TgUUFqBaP5KuOUYG6Sqn6H9iQ9iVx+mzotPYVaNF76mdtG4jCKmVk5bygZKh8G3m80L3TatVKD
81hNvn02OyzHyh2mm+ym4BE+mwtn0s7pXprBfu0VgdZ9HlbarurtfE+UudxBkctucwkSamBHgX4x
pwODaoW1Bk4kbKCqdpQnjUq+TuaENZcESHUcxvZ+hPkLK6lH+gVNhAI5gmB54pgeL4Ia6686fRLP
s142K9ttKb8ZK0t/mdI6S8/1CFWcSHIR/khjJeQOPzmkzAgpjSoegUyVlAHBoHmqvbxuweDKdrwo
I8Wo4+ZC21Jpx8AZ9YN9n43SPqc1PmqrSXAs17P2AGG3AUHEvfo6umK4tWHf3DdW5H9EdaN5fuYG
zz4r/q2oUHSozA3r7zo9dOHVsPv5TWd/cOi6Sl3bZCbQqSeFWucxloIaGOIm4MHBgqPLr03T9i9G
E8Tbyhj0uzEqg9dyGvBJEeo6xAOZFZ2Q065KZHnVcRO7q4Df8giMI7+GTjtu8kwg0On8t5VqZPBo
Vi11RKlZ4EasnOEwUfGAd44Vjr0OWIS9GXzeatC3RgDjm4UcHR4RNUzQ1ejPtOQBMC2BwtoJhqPu
4KHpM1werqZ3u3qOhoNVVtk7sazoQCFGcs5KDe9DRmFFOyNlQkcmzRq0FYQqDtcmhAkdLUZQKWzt
Tvk4+DSaGJ+a2O3vqEqRcP4nzeMRBFb34lCcjLCQHzCcm5txbjqOv9iyzy4Eut+0pr91I/7P77p/
vur+r395af6veCPWhcFV7P8Kzri+BW/pW/7xy034j9/322XYVZ+wLsCFEawepcQB8Y/LsMtlWBqm
BQuFG7HDRfkPP4RhfXL5P12gU4apG9LkN/1+GTa4J7t8KQc7g7XYIuy/cxn++Q39SSS0HZ1ZD8Sm
JEGtuJYLpoA/i4QkAOxCNniW7b6Sl1Z41kQUMYhS7UWWOrtno7IPJVHKl9xkW1wpwb6CfSm0PHMz
xKRSdG06+XRKrsSA/pEumk8eud9pFyHjqBsPEKAM4D3Ou1QxkyqWv7UYbdDD6b6QMRc1K+UA4EtK
Vt4Ap43jULCZq/yBzotYTXtXN9F1NFruosxqD8r2XzE3019tW4hQBdgrvaYU1kWHMjuPrC1boBri
RFykGMuXXm3by5U7nYRJnNtpTmmqbesqfAZzfzFEfQjnR7ZKBv189r4Ze2RbAeZuGPAtSgtSPOpC
UOdHoKBy+bTPTbbRou7KKKGyFZlr40j82wBCuPAhSCKCVdWSmTMixEsHy3hjphralh3ZxDvbt2BO
onOSRwukMiC1YoasvTBrPoeJY+1lF9HNFQ740eNQYCT12kjWGtQ7E7eolRwwnfdHp06Go2G7zR6q
3DaveDKuIheLRRbb4YkDgBLfEk/caH8eRVuec5I/a1zV0S0TwmAtFnyEotyUhKEfqWMyPT0Y/VNM
JDzr28aLRDMdbf+WgHpYdijWA8F3WNDZeo5Slw5AhOAMXWw10TPSpD8sssIY3LVDEgWgduvqKcry
c2TTF5gs/peyfcEBeS0J8Pq8mHjEPrsVASKAd1hxQ+dJWxqATSa0dd0k9xOuNtM+BXNLYFQtruzu
OEr/yTTafdJhcos6ChZh1xkka9mtr9oq8ZCanH0e8QuacLBfcnUsq+4j9we2t5EfEXKD75FkLG3w
G9ob2nQYKRLChIlrJms9mKxVlxF7lZ8hlIPz1CfsClVcrfTylk++OFhLtytuzlfXKrttknfJS12w
/tG6PDtlyy/NZLwGLf0uiba3iA0ek/YcQXU5OpK7z5xjzFYVR6n9oIopoQbseeClPpltf7L0gQGA
65CHUl5vCyf6YDnubCXuDlZP8QNIj1NhsnEUWM/dKLq1EwykpqFShGYyO/RLr84i0vdl8qgCh91X
8UOzRQeJ1A52cZBbm3hOhdfoyRs0ls5DfcHdIF4hEFiHhVWvOX3rcYXlelO1Nw49qiXx9Wu2RlNh
aG4KZZ1D9Xkqe+1hyHSs6GlS7eeiu9gwMzAG5OK5ohE1nkpBxrmGVhwOvLPurTQIsPNmWDy6EFrI
VD/6YdQfjVrj79PqZBwXAE+TrjKXn0I0uiZfhFK6Oq22aW19i0PNuRgjTDBLZNE2S8SP1CZY5Nb5
Gptgspd+DcUDUsCqn7VyF2HpDjMrv9ARqR3guSLxDyEAZtDGJIhGaX5Ncw18ww+MC94Aa+7dR5xd
FQy4GShVO+kxJ0ctSAhdBNuBziou4Hq/i3PKGTrXbA59Ib+UeuGf4PFdwGz47OyICc4+pddzEBKc
SbRv2cS+gZ7kCV7BOXM7bQ/lF3qL2/s3WlnvYit5dUomG8zJaiWkfd8bBQz9GnCDDn2G6Cfvrjr0
qPo5juMElshWMHei6QsjMBQQegOTieK/6p1NGnxLSfS1SdrVFGjxDs1tD/F6Dyr6McV+d0C2Xy9s
yRtdswQciocE3WUn7JkgJDONZuTpmpUEhHV638iPuBu74n7M6JVy43qLuPIPOFrp3mnLncBBvTay
sdh1OlEtJ3io4bhhy6LYe9CI9U8g3TW28Py8gCfW2hkL1ntT6DHQgeoHk5tXt4VcCTWMxJCxVkXt
twTNE+yyQhTBflLrOZvpxGa0HcOtDMNXbc6+ox/6G5O8O6YvSc/zvKk7Xq5GwA/zY1+sKpnZB2ox
vJa4vtnJp+XfTsJBJmnd8dgvQvWIh306iW+Oqd+5qgu2Y6SXO3L495jCvxep7e4s2oZX7iRcLseO
fXC55R7SCZ41QKea1//gGh3GtuSOFqDkeXSnr+zbBMgf+V3lOJdXQ1i+h2UFWqKWOvEzWhJ6Mbt7
q2sPAHeMx4ma+gsOEF43apyosdDfohaWQNTpNgWEfId20iT7wL1x1zZugRXcmqWCuLFtjUg2/5hV
EvDYZk2b9DOjEZUbN7SnwgtK8lt2PfDL5R9dar8kcTLdGlkZKyJL+iN901CwMP2eI4O0bD6JQ6+V
mGXCWXubfUD9Uf6O+sMzqzORYezYWUPOfhwN5RyxJUKeF2TYZVUT/YyS8D4Cd0Igq3qdgSp65H6S
aYUZerz87L/IsFADUHSgh6hpmWwz+KqBn6lL0TUm2eJOW7XNtibf8wHPghhRGpmPZEunrQLvxYJ8
rC6SUNzGqMR0NFyUKJ5TvPADa0jXlP03lcA1IpXiVkH7mE/AJ4x2sh6aHguQ2fuC1FUfnxouFTcG
vNaCa1G6JYBphyM3q3smWVbLqqJQJmxl7U1yANEcFempdqvWU85Yf81S/UHii3ikuQzwVRpffp4t
5NfjEwUD8cmgGPsI4ZOuwPHBLDKLDMq4g7tZL88gGR8VDXFsN6bCfNPyQt/gEkwpwXVwoxrEscOm
vWVFyI1HwdGA19V4rlGXF4XRYzkq8/uAAgxdV+MPd2dmNQORL3imLghcv9qQfRl3CSIGfRBatWuq
7NVq9A1v4/hAo8ZhLIsR75ukZD4mD2envRdx0SLpYD4VemPRsoWKQ9iKqaqrGISEm2X7xmdkzCyW
pmabT/dlgfsEhuYLb+KLqYFWmMNIXkBvjttZ42UHlIGCmtIKVNGbSidpqXFS2eI+CyF6aI3PwZ5H
zima64uT1M4OqmzJOVwEpzqxqE7u0vuJa/EJZxCIA6yNHmClmakxKzgRZc2TmrQ5iKH4zNBD+0hN
ID8xMaZlCyJiqsNbgGe+zbTxDntLtEJ3rXaymHaR2cir6xvV1W6hpBk4B9a+6euPBYyOHYzaJd/Q
AyWjsOVpBCfrtbHvPpR+TaEYn577hsur3tGWOuYF2VfDy6q22sUsrNdGOBOOrPyT7vAV9GYCJO1a
eyPxh3Ue9qRr8xdrlhUFBuaZggHHLS9pOFzzub8YSw+ETEklUPO9ntr6W2qVRxI92QrIAhstf5jJ
EMHgLzD7DSNUHjbz4Eq1ghp3CE9WN17chXsJqWKmSDPHpdHaz5DVh2vanedeH9dKFDtJeSsZUrwM
wYBVSw++TYotSlGnh6R3NE8Ob07NiiVsufvhvnzUCdxlorhm7Rui+Guv0D94fTqW0ts6ZHlphyyd
LfuRYpz52JYt5ipqHlZkDzb2mH/Q6pCs5sxvPTma97Q+sr5MNMejVxUXL+Uzne0+cpl5KSL5VPXR
1sxDHmyI22087WG442+ZSHiAB3KktorpL13XZZ5dwemvgQuEh1KvA/IpcMEMM6MJmkRBBgc+tVBY
9G4YPMKpEwrKqHllYqf7oKrfAWCmO2MhZUTsiM7dyPE5CaQjmmWbzWj09gNG7w8wWlGoFz8w2LyL
ceQlIHpAai3xL6r8bV32/22M/mXY/u+UPvhtZmYf868XUJe3HCH616XTH7/t91Hb/GQDQ2C5qizT
VLz5/xi1jU/Mt7arLJ6SroX5/5+jtvoEt5W0gjCFIZVU/KZ/jNrykyPZU5FX4CsyvP+tAIKj/rIM
ZdS2lVK2zV8BXINj/QV8qqqGx6CeuPsOAzN9MWSXYbcYhERRcM2sQemm8yrnCY1RBiaEGgkKSjjw
fFee9PErxfUGc2K4Eg0sBZKTXkAf0xq0NDydWOvXKbtiBq4XXyufjAE/GXbOa6hxt+DzO69IEOK4
jRkaqGlYVQsiHZsiX7sPbiiNJnh23CLBQNtxnURHljwjWiRxH1ffxtjOS+3o9lw6JF3WRTrXe7qa
7+qyd2jO/NzE3UMczWqFiY+HFEXuA8HauNPBlqTlFzzaFFX6DCl+KA7I/cNDz0G+09NAeLFZUbqX
NnfxKwYGy5udwEHTc978Nio3otCfJaCCPHqz81C7ZWzqPCIMhwYi2dooGvGoqieKAPlERvckM7x0
irANkKMNSxvlvNAph5M6e+4xXE+9n3p0Tv4gIsyDk6usJ4jm4tEmjpVhel6VE01jsxXq67zWHxrs
JiTlSVxQ+blxQYZ9kS5VW0/0gUOcm6ps5xbsgziKoZMwn1uLQRaQZ7UajFfScNWd6khCwbThh0+l
M37D0eucztmFCc1zxMoh8iMgbedz1tvixNIeA75mn0oizpr75GqcNTJICIVNxVOo2b1n2Y1ad4QV
cJxT5pKlIDrKOtmxFXzNXEJoDBHhLiqxLPug71YTajzgR6om/BFHZWFwmanmEjSd6xzsRhagGR2b
C3bzkoIdW3USRVErGuLVPKnXeihmz8j8d5TXhpVL4eM1YMCkAwO2GsTRU5aUF1MHpcCFnsxpWz6K
DjFoamY4W3HY7KPZJMJS5XeuESVHTRqP49hjfUpG/BjPg18aJ8M0qPrrwlsYu0DEOU7DFDt5JBC/
gwhbC02BZUMgB3vukZJIXqiUZ3YNkmM79SmAjmWlJfm+K1p+GsRpZXPFjJPsGiAFwbprCC07fDEW
P5vSxMaJ1WDg70CuZbAAY6u5OpTmsA/w5q5nUbWb0HXkqatO9D4kd5lrfnOGiQ4MvHOSzvMdr1q4
nfip8B4j0up2mBzogUpuqntJYznsnKG7zXU+4o3WudGG1sqlJAw66tJFmRwVckG+6AY4ubJTs2gJ
6fJLf9EXFEKDvSgOAAvEodFvakKCCQd2QeWiT7iD+gwEMbHBlDqhm6zxqkOXV4unj29xk1CMvDEW
zaNb1A8idgHEqPED1zyB99DgJCVhBKzU2assBdlUAHBDuDoNtInDo08RWhSCy4TwIszm6Ndc4EMk
GQdpZlb7BqGmwAS/toPQXtWl/9SyGGDvAFGdKeWzX+JoyvuzhfBTIADRP0GVAooQN/+zQ1ONntgB
PXiaf7ByVu3ie2UqbtQyWcEzKlb9kuwHTSjIBiEbWuphKV7H2HkDvD8RhUGnAsUBOCj3T5T9mbjx
w+HRnanKUO677488WilxvMVBwz0sTcrz7Mb2Z1cCNg+DS5ZMIaqLSK626icdtozcdqlBn9kisJGb
74/KmBIWB+a6+ynB2RM0OzQ5Y1HnzJ86He70fZGH2XOjXJ/YspPwCqLshYvGRw/bG0s4OskX/U8t
SmC6aILypzyYLkoh07JFaTDcnZTb/9EwyVKucJ6w90JldBe90d2EiI88hsARkNYoEn1fO7zlkrqm
g1qq/eK1ZS/8SOPNwULSrJA2EyROE6kz7BQPkWw+1ZhoSKSsiH2kDJ+QWBadVHZeveim5E/EzjHy
t54+JiwGZE4ZUF8rbWzpWweYTx6fiaQaJ/ZUFfDCzv8xgfqvMwPJFmcz7ZWor4aevjcKpyzPcF8a
BYG2gOIhtN92EYED+kqWCB63N+t76eN4C/Eoe4bFy6rX4ymwBn8zEKDaSM1ED6ZwdhdX5UH4pf8y
Magd6rQvvWJRo60c8iDqktYEkjDKV7HcyOrlbob9Yobvkb9j3C5+OPFu5Bo3Lfc5d7nZzcsdr19u
e/Fy75PLDTBd7oIqTfPd6BTIwi1NQaWGyc+YKUpdxgfwGVSeBtmJXRw/KcmnWY85W4iCyEeNfgm8
jnjFl2s/HnhOGQgFWwcqkQcoyD9pok6RRRPeSWGNiJWJpwEDBZh8C85S29HQZs4gvxyO9ZLcEiTu
ejU4wH7jmKLaURwyt+GDbIOEATx1lzZOxz2/3nM+t/dSD4CtAbau7SxYGTaCIUVsr1lhf0+fWc3x
HgJKyz7hYyDI6Kl2XoeOkx1zu78yb7CvJpffUkA5Qc7AEHEh9wydadxT381MMK3xGmdrN0w8C8c3
X5v1tuvgJzZ07Rs686FCkFrh5z4nGv7RMBJ3IwbfVV3dFUAglkkjingWBrdaY7DNKPBmW7Vl8Qtc
kLg9X4Fl6GkQvG6MoTm2yI0dsl+gOfnD6MZdDJlTUtKiR5e5zA5te1a9kkzIRbsqZlo4lNhCtHxL
g/BC8px6peJDq9U9cb/1UixEFn5poCnFaytx21Bgpo0amXsdMAUzCSJ+BxYgaFjmM+Tn26mjKIjx
c536tAskWvgddfg0Ns0XLAtIeTydZktS6uVA0gpGlgU+fqhzz/1n5ZhJB6Kq9spa3elj+4VD/b0N
IMbOBNoJQ6XXVmjU7Roap3PccXTHzbmtop0S+Y9cyY80GjfIPY1nbLUCOT2uqL4I62DLwLWmpC44
BcG4Zo9/FnFZbGuuGmvGOSqlzfnFjDV6izsSdIxumCSKM85RMzA2YTfql9Bub7QC0bDRu+dU7998
HdnFbrRTXkwuqM0hx/gU7jElMELl9cW0xLCukC7ovrLiQcfT3z1A5ey5NIZ3c3HqOj2nLcl6MKho
5D1C2VfAz1LFHOa8W9/9BFI3IzNfm+K6LsUD0mgJ+SQDNa6yX2euMdtC9d8ilFIiLOeY18qD27Ut
5/Kpj4YOXPvcbxznotEBrkidFWX/zUpZVbUxT5exmrblNXN02jKlYnisbiaCz94sq895qXOF5iv0
pY6XJZ9wERQ8atrpTlUkEiHHr4XgdihGy0tbdTf3YvR0yUfJon8V8bnoAUTWObQSmyNXp9/Mi4Mf
XPdEZYeboVbZVhE6XM2Syj4qgVa1wcXPiob3tgyfcp+LRqbNd7ax5TopsyP/GQxq7IDVRqsKjMR4
KMUhlyWzu6DXqeIW5BXSFpuSwMIO+uhO0et7DJYmqQL1k2rpodxQlUAvaum0pyBUi/BOlG6o6TUJ
EndLsWzQ9WqFf7z6lpTq1I1xdwyqft7SivrTxCEeC1fdJcL5nMd2c0mKWT0kOWjIxLzGc9DcImGb
2zCdfsDVxlspneBYEo5uKYQrHaV55B++VXN/YpmUrHqpUaIeTnxoB5u1w4sb5u6RWmw7mnBhVJW+
YQB7EBi0SNZEmJii6guX5mk72c0j3Q8Q70K1LwSwimTqTXThmy20CmK+c899FLra0HtNjEPKCP0X
d2rOg8hObFwhAshpOM4YBymMyactULRbnmXfMbO2Wwq7S6MtQPEv8IblXpyMbzpZZUu3IWIBwuQt
U2RrWUUf/C1umCGwaGOqahVGu9HJsAbP7i2Juo/WrDe4lu6rgLsz0wNGcUaIEbgKyw+LSutKzZvU
rggHcOrsBi5CuhOrC3AuYsdGQpl5UZAGjqG6VMJ8mZhNeiK1VmjvoIJUnpX4b1aqTnXbmuewiV7o
2/SvbkCQyq+igyA4htJxEamW4/mT/tpJg72zTjBzcBUiHDQEMBJ6iPBzYr7RI3aozfo+cqNXFJUb
bsh4HaUjlsLsbI70I/FpPOtNfozgPa7GbOrQtKZhXeTS04tD3zvzgYrzD62v0vXoG48yJGIGQHtc
BdYC/Tfe+N8LfNvd1HKeMF7xwJDRQ16OPB82BvPFStR5fsb5u7ETrLl9ymXcz/Z/34z7/2I9+G+r
mVgCW7WpYyD/16LJMXyrE9qQfnUo/PN3/qabOPYnVzm4pPCNyMWH8Idu4iwWBezqJgLIb2yG34EN
uBAMB/MQDnZdubrzJ9FEfHJxJbjUcajf6kL+jj/BMCXSzJ8NCibCC/UhDpfu5e9IJv5Xg4Ke6dAS
aMljnL3iFbQ2zuBWL9Kdb3hIu6upcTFrQXDXhal+NJa7Dxqt/B43zkXlxbZ0bOpMS9ffWZMYngu7
fZtLOz+S5A08HGn2Nmop065idnBlrvIrk8FX4FuYpmLqEeK3KW8TL+vYF8+mnO9Va2zJLEGlhtzz
Na+edB49b1NGitiZM4W6nD6gTv0oRZUR0acItc7VQXdhOekZoLfZBqqeUEo2mMM50rq3wm0gzGIu
80rK7fiyTbfGV2Z42henrr/0Nek54LwotvDyMFRzjmpgWCDdtqmWXdjARquWi/LCwf0QdrBlAYs6
4oCNoEKNDJyJG4GPLoxrTcM2l7pOfKkNWOtD4H6EARnmMeL6CZWoIgzq1NkR4iGV3W3wbDpfYI++
J0jIq4iwp816a+OzdyymMnsyij6E2NRH14wAzNBqI3frxv+Sds0OkiT3vlbU3Gmjr71jqG/cCC5j
eWYvKR991c2XGfR2Q3nS2iJ1foqq/Ghw37sBrOmvYY/rQ/5v9s5kyW0s2q7/4jkqcNEjwvaABHsy
SWYyG2mCyExJaC6ai775ei+UK/wa+zns+RuUoqQqKZUkCNyzz95rr/FPl1cvHKw7MDGD/YJ2GEfP
uv/9S2XFSpQi1lUHqwqPHQH0sqSn0rQxCrKryLexZoZ3GMDmmujs8J5lgGeUjOJDX9FOVZc9oxbG
0lcZDdFmcom26HX3OuE1PlN0TqhIS465FulHd4JFbnX2a9kT/rKdB4m6M9u6kRGv+Yi8Kn2ZSL0e
CaQyQ8cAGK26+nT9N9NEKycT6/8ychHAZwZB38XRqVqAa8zPhLYFYazC2VkJXLOiJouadprD8iKk
Q+SJRUnyZI/+2yxsLIpObgUaRDUtqqv9aBBo7FmC1yJnyzmkpxQ3xppjJ89Ko7Ruf/9gTWSomX15
6LWefCriGfOKIX9MYyO2ZY3JGQfvmxRwDQH0t6dRdE8wRacjrgBkobT/VJlLWAsa8Kpy03tYuNha
p+w1q91L2I4T7dgFBOB8OmKLAxat9J8tY4+tj/ZVbxVRc7Ofdy2aztoY0xi5ZaBsCnim2RJx7nDY
AP4mEDs2nIu6deFqdHlp5nGQ9kY4PkY5l30zeSR0OwJ2KGZDqnJ2xTxko5yGLXHLOgpm+kij2Ufi
ZGynsFq5I04JKFMg9NvlgE+6f5/L+YN18MntqbPBKpDUjnOeND52Fn/bnd4s8dXW2HOJiHM6iPYY
S3mu9VICU7Ljow7k9eSLYosJgTZZbJKbrOvyn35yLehjt7M8e4PKa1GEymYipVn23toKoFOkXvW+
34GCyVaxR01biA3RN6OR1SYg5Eqf1bIeTtZt4XfrPC+GY2tQTjO26dWzeGJnnXqYwnpu4y5nHJ6o
5aE9NgPf+qLHIJEcw8eak+MEN0v62RJ3DwU6PGXKqZ9ik8WSz85Q1M05BryMy9TeTfRxvsymeNOJ
ydoyxMU5EcDttAlqRtjNRyfv+xMeULj0A1ujTFhvakyHS5HIoMkBklqhD/ZxB81BJ52n64fWVQZm
IrbZraef4mEyt72Fi2WO/ItrU+KR5clBoyL7CJ7srCd5trdSG9xlY6zCHki/My9x8IhjiJPE1c5C
KuuZoZ96Z54CoTPbe5WynhJKjVD7SMRXkPOYt9N0F8F8fcVrexCNszJHEZ+zhDupGzbNARMToD1Z
bGyMr5e5Mqj3KGkJMH40Y20xBYiFLegQz+5ouwPa/ZRT+Ek9zFJCHz5pWmc99SF8VYuu0owDdEjz
X09NugDNMYf5H8E6Sau1Qx8Z30nVQ5duYLnClSjKE6/Cp6p4Dni69memDxN+EBBfIYMpY25ACflV
58PnXHNyA7LwiCVGkJac+9AwSnH5vIwmam1bZMhEYhViTqbxQ35bpooCbjcPvVMvfE1y2z/VUMML
kE9xbuwTGtbnW8vk5p8mUasNeg9GgmSnqv65Ut4YTHJW66mOwPHN9rWtMuijA3s/Y0B9IpmhNOkf
O0d7hdIaroC876LauomRZbMYaQECoHZLDbSRngebFSaHLsMJsfakf5F55F1MyqeweE2Ol60o/1jD
PGu4vpzqGNMJcXThj2w8C2QdY6CRwwOcBePdQ0CpOPpmfUuM2d2H8bArE4IWaTj8dDmEj201faQ5
O0QiPoQ36azf63YbyEBxL36B9Ei4zyeWnmoNgl9DfzwsZz2w7YYG02LqAZgzG9lUY6HD812E0X2e
9LdqiGiF9duHqIBOdkaCHUc6124R4kubQmlSyuAdN1kPWo2+PN6KxKZ8xTSG9ZQlD4l7HPOvvY0r
j+JF1IU55jaV53QdEtvTwBBr/r7yrXdbzOICf52mozD2L356bkyUknwuXy0LysGYUjfvhKMXgJLK
dgMVsuNSNRG2RC/yUtgbnZno6AtYgm+94yDCATIeEmK6ue3n1EN5KPuhwTcZlj89UrVmVeIhsLgp
9umty/BdksdOIrNCuk0f4JUrTGFs1JGBsB80AWssep1Kn89BfJkyJOBy1iA0uI9WWiTDbTYT1iyy
tcsWK9+39CNBzMa/Tawfv4BhIjmm+NB9u95K/bUruvJmZPwneq3WRKfnoPWGNQgdPYBhFHDt9Ou2
hcxRg3kgizBQ3XvNhoKNjUMjAQ812X0R7VdEk9ldtxRJBNrVT1tCMIYjN5ZZTTuOMS27J/0R2f2H
HzYfnBYwgUrkcqzsBxOm1bqKUrWmxu3LHsozLc6rqlhSubKn/brqA0ny1i7ZvricpIxN3Us4Fda9
4Z9BH7ygsPGgT9mX4iw01rg86I8L2jj9SFbNHlKXscJi8yKUs3caq6eqG/ZQIfEq2GLaAuKJA8g5
u1p3yc5Lx1lriD6a6M0NGPPvQotfOAN/UcsEggA2jmvO0JeA4JC9Z85DFpcGqRqpqAWOiZFvgSBD
C+TciKUCoens54hzuVvIrUbNPBu/X5pD+ymdRr9svU3XbLnioxAOR0TgOToGDZ1cRzVpBCCqD1vB
kahd8yLD6Vh1/Ulv+6OTPbmhcWqkOhaR06xGJf8YvPq6jtZASn8oaLpBh0xXDmW4dTcCxpHZnz4m
EdbCdDGTlGev6T86v/poa58KqInQBvr4OO/6+Ty5JqGpN7xXDrGRxF8VBVmbMP4qXW2TTItRwSip
nW3QStjW8HVcwEvrcgSRVJqbjpPhPIYbCk0eymQ3NVvRH5h0mwgrqmc5RFxqfo9N3xaufvGoBrWK
4nFTtx9invd1W290uiti2BEUDBYry0z/GKFzKHMPI5HmPdzIvP/97VFDQrRo7DETR2ov9fQ38BAC
5C6JGYvqjrQJH+HYGkQIjMMwR0eMD39Kz3x1qIHCkP/lkdtas2rAlT++VfH8E0THbjDmR85FRafS
Oa7zlxzKo2bTUW7c3V7jDzTudpf+qTvvoHfVh8z5kr4273gVQSTznVmd++TW6Z9WZF/s3/7MWfeh
kwVeNQNAePNe5OFjTuWfup8+Sw91hA/llxuFD5tGOOX4j2RGVnTzc5SlXzpyPz4Z+0k0Fj7i8FHn
4DV67bdaGtryq6+0R1I0H3kRQQtKvzqVfXWW+5zwPhLD4TMFGv3Y8JtwFd6X7zQbki/fNO6hcg6Z
MwYgUX6DBtlh1aV4hnWhM/GYXL6+75Ar0uZk3dBuoTgWc44t1xE6BJm9emcp96uMGj7vZfVRFMkX
oOMgSyhszM5Y5z7UKO4kUTaub9zJqfO0am/Lt1dV2Z828w5ZzeqD9M5X4fsPKjm+uji+x3J41q3y
ydg9RZNXY13Pj6SfYCMfCkJs5NR9xWdlkURLW/1sDG/lhCTfxim5MxZiz2zejYotVz1wKyl9bUlj
8aQkMLZ2RvXcMBZU0J7Wwqq/RpyoS0Y9OpgDNjpBfQzBZ047+GGn+ouai1vYAsONAGGs/NC9SWWQ
ouo46iyUDjPRf/Z0+o1yQe0bkwgKPf4eXP82j/reGQf0w6LZpONc7XyZfNOYax09Yzjaerr3WpNp
I3uPqYOmrr0BC5q7PBLqUVwW33XDsrjSpbjUiXwyO7Nbx6WRMoGx0yFhRVl0XDUrD2cVvr+akkNV
dKcyT+VOsgXlyOQdqr6bjlQgkU8Nk4TmuBbiQp/O2yzXdjyvuu2UVrCWk/km2jHcedTZBLEVjTd6
ObbTROwGGGh1Qhpmnp1z+YNBeXCabxybztVvFz/2pIFlHWvwz6zT1lEnq6MhARcZ1Qu324/K6tQ9
UceUl5xPqI+dr5zcU8x01FJlcfQYH7RugQVRtBT4dDqtDJ3+ClMq/2DnCbkvrT8rQ2cKtzFni5Fu
e6S529BQxq6G7IfRFUf6vsnewMLp6CIiLOFih06whovm7kXlcC456OLkTmhWnsRpjPv+PKj+QDY+
PHgTLaBxvnXzwX4CyIJQ3AuxA+NgbkchwzUcHHp1ZNIHwzQyn/jVwP4FHlZCeR98Jjb55U5RJbHB
JSqv/MQb8l2b+fi/86q/IJb0yOQo6YnRhQfs8g4Gr9A/VtCJfUDP0qAKexzfbLt23yzeGp+P5GZM
nHI/DJO6dpH3FqWi3kyzkRxVl7zDXOHrh/b06nfDV9fWL1JU3TPS0Hceh9WZDlH6n2xOiI6MwqM7
8KrJGRdW46lq53UdG8uhti6mXx3SeEgvXibFdiJXRk4N8oqte+YhcdpkXzqRtleC5jnhNAeYJQlt
b+RRXSi3Tw17ZBE7z6HOZZ0oLTA0eYPB7weaTbmaWpajVMRufBVCbSt0uSurXT7vqzSmI7PRujtl
2Es5aIPvn/ChWXeBNKV+SpYftLz4bSPV7qwmLXc17EKWcmIKulLj+hjd5IEElW5SKPE1TvDBL6ad
VobZvpEFS0cyXXUo2xssRqRlYz6Hpr8C0M0iqvPEK8z+eq2ZziclJJgF1Xiamg4wSqvybepo7V3P
4wzDLg7IJLHWpTW563ngGKJaPzAi6LgLgWcgULNu+oinIT7nLDa2eda+miLS1nzdi7CjcNMgnq+p
ivXOyMK8BUKXByKrv1nTez+Xf8G5HCBRIcNwnHpJEZu5k2M6zrTXTKcEEuJbOV85oFy0sQDzE8bR
jsCi/jToiENj7H5wA8S9J0CCFyMU5X4mtpHW2RbDC7TpEPnNjl+0wnfPbiN/pRHOIrXUrZCyRHna
QDldoiaM9qG/+Hwyf1Wmy2LR3BoeDeud1k53jUUgPvFyIysSqbT6gJ50TfuETwtvhrpqlcbWdF7Y
rfgmqYR5lJ62H3R8HBUq4gprvzhFU09sAnKMZ1rlukr9cu9o080boOUsZMh+yeZ33oBTZHxL2KNu
Ra2jnEgcT23aaiBEqh92nUabxmZR10i5jRCv1pOnaM1TjlhPGq99okUSn9BwzBhtLvE7gFJzFxmg
1CydJt1ByZ2r70L8szQtgXXlnT+huLz7PQvfiCeAmStysywSgxjOAEjNuQy0dKp3fTugPPkVtQh5
sgeNz9E+JN83dzG3EmKNdsY9dVVPEDZb/IprL6oyBIXMYys8zJh4soQO8N5/+vsHZxDGmpiER0mU
h1W1Yf2s92zelU5dmxX7FKvMGLFtirPY83LQnE6OHc97xdBNzWx68XW86E5XXSotLTdxv4S0lh04
eZv46ERPBNadswODLg29HoZS/XMcrH0ump1JHHdFLQjn3ug6uSnxc/Ut5iQK5iwm4BCrjZZLe+c1
AiN2QeVZ3tSvFlVuAfEqmOV6ecPu/plqBjuEBEXV7XV4plUORl3F+zmbvzWt9nko9Xym+ECeLC/U
OXhNbzU+759iKoqAi6E7eW3ZP2pmOh+bGJFwnmsimwPh87l22oo8lWi0bVLSloL3vQoGfIUc6rKv
rKMXKpT+B8gUMITeVB8hEfCuVb8ar5GPTJdvYFDo5BzL+3siVc/sT8IoLzOEWxrcDqHhfJuD5LIr
Fpy6rWRAz55DJiDhHiysh4XcRiVt1B1s0R9dqGpZ3D2E6D691rf2rT2TRounK5W//WnqanF0ZXbp
Wjc9kCrBLYah+OZa5V30tbXLm/JRZQh09TsB6no/pDNFcTPJLXuaw5e/iVp9kxTHqsmZQzD9td7S
QpUZ3eKBV5tlA7B36NUtItSPxnDABett9OxqL2xQOzR02nprt74koc2CnrzLuhtzAbuVBKudHKsp
3kubl2AomrPQUrpKAAXAQ+h3iIewISe+21z1e6qTNF7sG95EhvXkXtWJC2/QNpBZmrOjXCRsdn4T
QK7AdeiTLZ/T1rUPKmmTtW8mlx7xU7V5s4qb2oYzl3+6XBdrPSOcPCBvQlLVdgbDAZ0ahc+6AFsT
8hZOlxw1nKSsf0nTASrgl2i6d5EX+XOZjoSmRueXF1E+rAounUVyIV6UNZ9VJ/fdGE9/UiLSgOZA
5zn1r7bl7NKXIhgLXaNEMhyp6Ygc6pRbJgXKjpw0vwzYJKgWdJut0u2vQi+tM9c/WwLTOULkuJZ5
Np/LIWUej2g+pgcN7iZHIpssSoyTZl9kxfxU0TIpVSMOsLKwg+VNt9VpQA90DWJHbLjAdQeNA2qf
ya3pRiQ8aNWbI7PjjOYrZvTB2rQLWCwcp+okvTI6Lj+DRzGeDc/m4FnnhE/q8NqzcwA3aeZBnHBU
TLBaHIDxkKG34LHjCWUYZHbH1dhTVlQOJyPCCIUjnod8YXyNxM4RuL3o0LGcXOcxd8uEWyRXUhY0
U5fvXY9Kv5yG01inazuihnK/lHJ2btmfMxtPJavXCkPsNgmZ5x3GiDM0jD8MAoRAhhh64JT8QoeW
T97cYWEpYp85jo602eegAZ+AJgQR0W+aQaJPW/9F9m67zcz8Y1QNq8meDlsFHHNd6LlzoU0JMSvp
K94MVAFWIrQmGWKHp0gQCPLDPY1z+yq03Y1jGd/2pIubokvg5oQs3tvYPJM62zWqENC8FAa6JL51
ha+4wVjWrrahCtYDABQQORyyCqQxS8ejIaeuWaHKqF1ejb+VnUUnf2BfLchQrFXXxWeWCHSZo5wF
KtMjwPtYhRLy73vDRGrB3QYuVCw6ChfJLgQ7QJCL6nP+l+QAb64PcqYHKrfOPcGNk+kmw9o1J7Hp
+5Bwih14Q2Ls7blOdq5HeLQzvb20KP0NhTWB8yCnas2cOB2aMxqVlFsb2feWqqcqDG9GmxXvpN/P
BvQxcNxS7f3wBHag3sxFBJRP7Eq3GTH9JFtI3rSFd/bFDqt3K0KnY21262FtrNxW6k+unqLJqb0l
fHlV44jX1dARTxEcoSSvQEuzQhinr9KP/X3e+ftCT8ZDpeINk4Zzgg3mnGQy/h7lMD/nLAiyfv5F
sM56teiZrWhiYxE/P9nFUrcwD1eXJ/JBZtYWJ0NGeQW20lTTCLfxMXHtzN072/w1waR8MfMeIiun
N8nh/FQjCaraqQ9Ra07HwRtA6wBkAfbpLSQCG8uuCwaj5xzFfoPjhGxxCTWjRGS1b1Qx0j2Wcibo
4W9hddLWyvYPwgrbcx+Chqa6Ak2u8QKWmQOOjjtrM3mAI/8eUT2+jWDHFnQH7zVH/VJUsO9ySTTL
psBXQa+u9Egd2oK2O6Iz3i0V4wb/Hj43FlCbrImGvcqQglmggveT4zMuaJ7n/XuHnfPDoPTLSduO
NJbIX8nfzGsIwvjFswlB3Pxq1TRuJ52bgbvok21YU/7A/aA1ucji/Dg5kwlxpP1DFSdxWcuLdo67
zFNh0+NVpHmEvOUF+5J5zZOM56Wiflov4FDU+LHzPj64IgEGp7C+gtC2N1CWfpdtmwfDEhBn+3th
YXKIxuTTFiA82o4k6t8XbCPZLLnuM82dVTBiBlr1XGNxdLALKwqa3oeJlLBenRDUplg7MVHaT5Hj
sQkun6eJZrJhvrPofJtL42uunFOzK8162Jbq3CBE8iK8lpZ/HXVxsCLkeseB7ku2ccq77dCFrEaU
xxyFrxGf8XqJi7ZJ+QLpp8AVxm4s9r6nKfkyqE4kh5wzn1d/gLt6FgObvxx0sD0N3KbbhmHPobxY
y7xNQzHz2qWurswylmIaTnJaZc4ZdNut5nL7jXWOraQG6ODotN+FRtdjnKruhPL44nVhyqwdVKRy
uIDFHlfndARD/FmbCf0mXQVUyuLJiwmksTqHIBG5yA5qRD1W2m3S6gd5Bm0Hz3zrMiMf4haiK9iQ
syiOKZmdU07nC2bJolqppZ5wVlXCJonSxCLRiTzzqrvOCZDztaPfIIwgdiZiwhe3BHcJ8nwV0m92
rf/UAadcV4R1Q5YQwRhhBRaWTRMW8c+jKSD+1qmD+XTOTiXd195gdFfeR4TomO1j2L9Nmc1qPVFy
7bsQCbR6gFMVYsXVamu+UKFL65lXJ/exUkxhltshgtj6Nucj45ax+cMvDDzQcfmhhx3Ll32jRd2P
znEvfe17Zxj0h0hfpPPS/AxLdiCdwJ/jQKUrzajdzsNiZJ9ke4T37u+HmJWSBYOf72G8trozvEBX
PIqWSDn1aOUZBulGyjrHjC8hIXnDp160dtBPuN4r3MUgJt8Ng1rhFI6ociSahGOuU+2PHc1PInSS
Q2Z9S9LtLLdbi+S+jZeyKYbtXDJOTzj88qjOz/r7wJHQc7ztsJD5Z25QvdCjTR3hkWXn9cNS3cDu
vgawWZsvnK+3ZR7pq76tsWInKSq9Vew15d+yn1OsU0bq918eZWRlXD982k63scO2XTcEZrHYAdOb
iGBwBAFk/3vUoMJUrpsGbWbtBo1hSVrkqOnrBRl2LTNH39OzbIGtXpWNRo3u/I0chuFNa/aSO7Xy
8T1YI41pbX0lo+6ENTZdw/nRdQpre6396pzwazJxXQqNMDLhyHMyJi+0EKRMkrCEKDdca1F6nIzm
BdPzi2ONQU0LNBioNWBBmnQSmoZI4SzleieTpcvas7pn2hqRGmuXbmidunCzGO4NR0yja8d15TZ6
YBLcDMzOv3VCey8m71ccWptqsVLNVhxvXJPhPPN2Yd0CeRrTAyTeRZNtfg/sgjaV63znJIhV/BOC
1Mmebbxs1lHzxy+6z3h1kvQTOtkLyHR4WlCudIBrsJeY+5e/fGxOQR9SATT5w4sT0m+YLM6OOB3Y
zo31uc1rKOM1BRamFxsbuJfTgXQK5V4gcA60o+zZoLY3y5DurmQzgIEi5pnR55QIo++eW2IECfWj
O/SwK6N0d+pRO3e6ZTz7AF71WTwNVf97qCNv4wilTrYVWsE40+9hspbXUCGwXhjmB6CcA1sy8ZI0
D0/vontIDtIwm+rFIs5dRHN1od3IuEJNRzyKdlhbCElEUXp2JyM5N6MOxAyWblRpZ0MC1BvNzn7S
sS88IBatkVRfIw/SdjY1b5ozfcYEDtpcsIMP6N/NTnYWkplFL2tPGDt+CmAre82uzWMVl89ehAOo
rlW66cxQfyL3cnTMuriHfnUem8okhmnrL5F3b2c3IQyRVjhJ++lFpBuI99vZtPMX03Iou/X7HX0a
nAwRBK208M8kYohEJQDDqPs293HrvOkldoTIqiHP0jGxtsaS1YNPDBaEqr48l/sdzRBN0IQ0RBp2
5wa8ie2RnH6xkzLdh1PyTENCfjVKupcmzKcQLmiHqviGj6IcNpTxCCaUjBlokMMqyy2fd6JJA5bf
VwB97qpR5Hwszfs95eDQwW6NVDNoXNBWBBNIeUe4bzoe5hCwvEMseWTeiwbDQsLNOL7gW7kyx8QZ
ikRW2R0WXG1DfTCwo+4VJ7a78+kNZcrH/UtBnMVdqGNf2SfTro7zazzM6qqUvaH1z7gVhmRJpru4
Z6kE+kmNtNYwjoFu9Lk3NaxiCqzqRxIxv0KsOHyRujiMESWMFko8JJUWvIvq3jG+cjBNSIuxd9e3
TlL7r8ywrm43aP5GuBEQGYlMdOqcsMYL+s6WZ+kt348keGp1MghTK71HQ68/qrS9DOzqjm3ln4dx
jG/tBPkPWtx7mtFPOMfXqVYxftCI+kPXvJUWiY7O5r3AN7swA62GdDwWyaHOliOvgALXsYyJVCd5
AeuKVpLMXBsaVvs4w6jQqGk+OGyrNx1yIt2qur3vFwaWKMV4YZFxB+9eXDqPgxwUnGM28bckwA3o
KyJsbOp7Wah3U9DtJjDHBxI/1ZFalzUa4ZbLtuKzzHIQ+5K7M90+fsqLXx1P8Aj834UhZ1xjL3NY
BRslvFT5zw9j05bHfJmU2s7cYYCOL324T4rwoONjIDmgHeuib+6zs88MW7/8/YNbTeuEXvOTTtFo
nibhUVcvzlgm/MGkGs3+EDtDfsCHNX0swwpWYeYkjNIbs7pYvTP8ijNgEAUwnqnHh21tsiHNjr2m
KpgShflq0KVxTPwai8ZEjWntaWylpP9a0jCxH7roJPXcP/PpLViGEvmVmVcc6Q4u0c8aMNnsE5Sg
bK2sRGA2Q/bKgaO84Rw+NS7nZ183DBAyYbhqzGykpIBcB5Majv2WNGDicNtG5Zs3hUFykWI2um78
6KyUke5sXeRb4Pt42fFmTXMsLyPLtpQa0Ec/eDTLDeMRXAGppyZLISdzMB3NHjOZ/HSHdrwOE9DK
PvgYmltJs8dR67UNBjGPD03KlJbl13zgQoFItm1S8UIwy3/1Kzlgpgu/9aJat1MRfeOUedUHN3ul
wdJlVuU4PgnvvZrlZ1Oy+Efbhq6J8NzkaXGVjaFvNYxFgZlr2EV03AB2JMLznFbDMw4ia9fEilVV
RBCvHXAEojvYyGFpvKGiMAtGCyiEo6hLyUZTu3YsZkhYTPMRXuOJL67dVKGHO5ifPwjQ7CwD7PLi
EvyIeo7/Y5RvwpJEX6M8Uua91zzNCivjbCBB+jlDXmzSulLUJa6UkM5y243QCJtjMxJaU4AFCuFu
62FAa+iNn5Juz6EllWKYe7+iPWmsFdtFq0VnY4tJGwp37WXh6j2ptvgzyWKbw2lAVi6+OR7e2moc
16kc6yCmdbgmR8JSjP2WMONPdn8cxa34mabFkR1wesShgpVTM/c8CJY6YE6Lep6e4/wrawp6aNln
T/WVTdC47SL4bw0G+YfmjB0vZDwgQHxkKs7OMBJulhwCY3APQnjmj8Zh99fr7edUeSOZoWK6clHn
m9jpk6VqkEguvqpozIL/9FCzU2+nx6R+/7f/8vkrT4ogado6+W7/d1ab9X8FH68X+3QSfdbx//l3
/k8Ltev8hUPZ8C3X9z0MBgvY+B/kMTBk4RkYIrx/56E29b9cX+g4pS3PNMlLkRdv/lf1HSF1AeTN
9PiA6OL/K3n+t0X6X4ogXJ5C0ILxjvj8LXBzG4Dm/jXjrYsdN+cCnXaCzyvWEzvBBlHRPltELjYn
Bsg1oVoWKFIcvTnUKLbBr28yRtNnoX8R8mu3/WikJ5yx91ioJ0MN3dPQ0W1iINxsW3YOAeU8yE2U
LtxtF+uu1Qwl/VChHajihROoYOk/Vlt7Lv3diFzc5/jXwmosr2bT0GZnvo6a7Hb4dZzNf17d/09X
9z8+fy7F/zgh8Nq2n/Xnf5gR4Pf+kxEQf3G+9x1UMK4h0N3kDv65wN2/OOvwy0Jwof8rsoIp/rIQ
51jrWaYA7W3xh/1zfRveX/wHD4qhS7zgbx7Df/+vJDGi3+W/wa//y8//ddMJ6ad/kxEgfShoYeS4
uJAcXB4F/46qP6HVmPaUoAw2LUoYFbJ+42dXE+MbZ8HZWmkdj7KmNXlkojteRiNpf8+NGu+wnRvW
dJYTIfdF3kywr0AhWBW2JtY6jsKV1xYhh0QODJamhRufYDv9NQuFK3J9/dtJOOF3KfU5/mLes0w2
1mLwlnBi72znOuVYRj+Yv0qyAueosdSulI4T2Kn3QyuygdiS8zbpzi30a9zpTYVV3/Y5M4DcfqK8
kcMG+tc6rKR6zCVlMxAPvSGonKXrFUV8zTyX0LYWJuvY1uXWylhUNpaCC9Ajw5zpEcAd1kUvlLuQ
ZY4wJmq94M93nReElJd+CN/G1HuySvQFleX5eumlhRMBjv3eSeePzXGZvxjAnD3oFOTLGaCz7OMY
rNVYo3XpUW3/MnBv0aZmRUzIE6bHeNNronyfDaLNgUo8yaKSxxgKtDuB/42dBxAs7dBGhnOXMRky
wrH93hr1qwME+hSPVvapOnrlJ7iwPBI9cvwmr7FbEObk6LGb/NDZmJ4Cu1ukw1nVBGKzCr+DVw+H
1Ch/5GmGLi74FS2Z5WGBTK11mlyCutd/NyB9AwSrF9ZxR9wtq6asLzRBfWFZxUvBKRULP40zRYZO
VC9FNhrCGG7DlotFJRerBeXG8jjmzQzdIGbpgUY2v2GzAyc4wJRx5M80w9CWQ/AAOkcoFS43uwV2
WASlJkXc36u7LdvCDyC0QH8GnJUFR8MtJoVoa5ktWCqlf/eR5Hw0glKr2emvZY5PfkjzEFu7771G
GFq2re5mO0KXI0iPSHBrr8uJ+QmKuW3EKfV+QluPHoFB147BpIWyDko4xrPD0ZSpa+bqzp1bHfli
a4cgxqvc1wBcJOG+dAG/GdMSs5sNF0Qwg4/JbueBTk47D/1X93bSdAyuCQJVo9kbLPXQm/x6xkCh
qRuekp/66AHU8/vuWYdsSOd22AOsJ2pHPVp/yAYS+MsyH/8Xzekb0wzTczpJ+2TbHOpKPeL83wrx
EyYWprFxCg9TB7rB14T/4Uq7O7lYK57rKTRPuh2692nAYB1ryAmN0YICxnu7tti8bWwm8qs/T6Ae
x9x50ZB3di0q8rpH9Q5iaWrPynPUPooJ82DHplGF+80tSesG1y+Mbj31XjA0ZjS0LZXfLY3jRGg9
iEAs6sDyFyts2tgdtaxTuKNxuLSU2rDH98JNrjwLiMmyk640d2/E4PbicIBLOIwznrnIea9NTHgr
R0sPXgsqvO+7tcGnHhdDWoWvViTNm0Py+IhhEBpa1swbr0FwkvaY7eioM/e6o9a0l7z2tqNfuF1n
d8DLQPnH8DOutauuSC5OdGKYefhG3HyxUGbuQQ4CsXYuGgQ5HdPr/2DuvJYjR9Is/SrzAmiDO+AQ
t6EVg0EGVfIGxlSAQ2v19PMhu22nqtdsxvZmbW5oWZmVSUYE4PjFOd8RTMQqF3WWaWAgZqgEFWE0
VHVVrl3PZKp0xMQbwHK+NWrA/ecB+WAYmnMdp5P6DggOLPLcsITKmSen9TRucgnRYDNbkjlk5IUo
ctsBYzMhXvO4pDoN7htMHyQ1XiseTcMhDWrO6lta8VPByrYbfMX1tDb9CtOF8ea7A0enpbdpHOdr
MvL0Ec4aqeuYfVsiJxkkJn16aA0rWodk661jM3qrKos7luipXWE51qobPAdTBH8jwqq+Iht3Ynhp
maDRgjLHp9jVL3OJA5z1yPzkiam9UtujWRolBvLgzGL3qmA5LpcBUeie8Tb5HE11FHDteKjNgqwt
300Q1AcniiD2WZm/1bn4HVqxcxlc/Mbkm9dkNY7g56f6eYaEsHaNhdLc+VHxAnuwe+li4pBYTiGA
RIZHzdS0JTlUZs/YO6zZD+ZhjHSeLGI+QoQx9pC9+ElQJKuhwc6BmrbInsgfa2nG8Wc6oAyOUcVO
FVbWsJra4v6X2uFfT+a/Pon/+aT9r1Lz/3oSe//GOIKagf/IciSLXKAiezd1oJb5A0GzzlyYHyTf
SAZqaImSrvE7BEtlS2eWa6ZHrjJPfmMhAVUZ97zsEb1oq9wzYYbjO6vso6zmYceQoQJXR4QsKfPE
BLODzq141XtqxqWTIZLyWE0+k6yTXLMmRRYti/gAbJNvajtGtR0Kq2JOl+LMEt0cb4KSyHZmoI3x
iCSDO6ft9CUk0mZJ59Ibv53F3W4zvW3a2DvHCIXXecdpFsWW/5OTEyuCqiaTBWJGtv00OXd31pq0
DKfaUwUxyaMmoNVsh/lUu6ziCJDyty52dGjEIaTwNs+dmHGj1YpV0dIw0A9PybBovu1tTtu+nwoY
c7xEu/zehK2+t7ozVn7Pke7XgbUtQlkxghy956oV6oO0Je1vsEqmxP2RRnFTYAPBxval+0Mbfe7i
YukDEwMK3WudjEhzKlJzysbvYfdyVd5bHykUTyNZfBmWMT1MdR18kkQGRX32ylvW1xZTbJS9m6Rq
Z3wKgEZHxzAfPGx8v2U4O7uyyHA3EclGEy9dc9PZqXEnptA8OWCin3qIW2SULXv7leF45SYe2JJf
CJ7vmnXhV/4vhwKo5f4tQVLpmo3wlLnVz9LN5nxtLDeXg5d/2toIvvCco4m0tyGk+S+AmwW4TOF/
tjiTTziO85TmRPTv8Qh5MYone9mp+SdaG9lvUMuRIjLVMGQAp1cHEPqFXDU+VDnyp6f7qMPxCKpD
3OZS1Qn6rOUsy5ZjLeN1EirA5xMvhx7IJec7zrLxo+E8AJ2kyE+oMbd/Fn/OTIQJcPlEmOnm6psJ
1OJgQOxLBInhfSNTNAGJOrVvEYOCgwRus09cUi3WCO78GzaP7G0RuOEjDwy735LWzbPDALRyYwSV
Qu20EqddJ1rqK6rWhdxUMxXulydY57ZkhKFats7sJRFhBWQ07kE2u4/FPAE4TFWrX0um6OEGliJx
bbPnpwECMJ7CtpTiw0RJe+wboqrV0DlnSkPsb1VZ9oT5VfrWL/HWicHqgWE/tQY2FsbNs6PJ0Voy
sdMlHjsb44Ggvsm5GLLoT9pyvH3yJ1EbYUf6aqhcQCjrRIFTKBcxKaP10HzEo2nuddCDoQlZBa7a
upxxgbF9sd1w2rlatNSqS9a3Zk57k0v+96QUgAavANVR+q67IfbBe1KFH6AG0d5ucgLOb9eobkah
60eQCd67VVnuux+SPM4eoX9xB46pcMklF0tCuSynnpcv1duyrlhWQGZyDTFXfKtyy/ptRQUnOcYR
wd0zZfd6JgkdcSmgAR6389Ejm/rQYXE+m03ERA0RKru3KuxXjVlVL4MxOmg3Wtx3WOr1s25Cgtjl
ksnuMQTcirieN0WVMB2tunRJzNHexU0Di90M2e6YCkdMfOS9iyX53cFkt5dOs7jmyIWfgFzuIN9l
n7LT/uesZP3oLUnycjSI+fwTLx/piJmaTKLoG2gmxWYs6Ouz/SeavgAP1y9x9b2flI/tgKVakrXK
ZS+dHWIrRWQSEBbfJlojaNA+kGTimxeWUt6947n0u2TA8dLWA/61dgDwucH55KOb5rm86rs8/Wni
D7wwlu/OdZwH35zAy7/paVTAf5HhlqEFbVGWC1gWbxuOkGvXRqT+1RpTzATXwcwTVAZzCKY2zqpD
2fvcmQTWc6JMAQwVDjEBy1tZ6SnmEbQiSfeldGcSQVEVil3ZGI5mlt6Nu2bwlltd5tDfulyDoi3y
rUAbfOy7wq3WlZM5IVUqSb41O1yYI0P56YkGc6JOtXy3dM+6xfOckDU4sX9p1jU33qzye9lZvD29
8T7gjnkZu4GqoKjMfUwZcusmM4R70zg7M+ohXAwdXQ82iHVLgOdllmVwZCwt9wyoqRzmBczikSCj
FstqqyLvjBbVxZaKytUQqn6A1mY+mrPO3+CNYf6tjXh8DEHNVmTUQE1eqci0N15mJWe0beXn2CfN
i5BF/aaosC5WVLcH6eCd8V1zJEQ76w+eLF0cqSVhHGnavYZ9Ftwjtmv2yibXmmkv1acnp3ZrN1V0
FeEYbyxufYq9OnwAvGrtUys3L43W2QebFmydET7hNeu+nl2sjJtDYUoctJNvRAzgfSsFsjXMkilt
kc13htNoo5OMpp0Bt/gZFhVbMqPJnXRvjm5W7voIO9AmDQ0OuoFoV0IOa7WOjmYjZm9jq2Esr/WM
vG7w6xQnnaV/ZZiL4W6PDUsQD9EwN0X1Eno49WJbLqRjz7krZyh2owo/kb6MS3Kqjc0/ca0DOTd6
ByZm6crseieHvtu7IrRPnTuUz7mXXTwUIHkJRWSsm6Oi1TsMo5XvcoA2FG/TPH4RGZBt8s6HwYVn
WN9CpedjN3fsBF2tKYAkuuEyHz/dBpo4V76zEpVZrUNPMapX0YucB7rIReVVGT5xPlneuyeZdSOA
IcKUyAcx7sjAMUor9OM2GsWHdMwRyyFZ5tIL/BV4IX/rkf/yTDxM8rKsNACfAZqyQh2e3QilQDP3
7W7MSGSfmKu8sjStL57RN9maoGvQM0jhAHhxwKzI40FKR+ye+CKP1NmqvvefINz5mzCyWLW6hMAU
TawwJIcwcMKo33b+RFTPPDMeGSIRriP8xor6WSC6M1pVkPU7uNsIp+mOCCFMNkZKvo2hzRR17GCc
XK/usTWPqIxHR9yDxT5RDVJd4pS9gZpsHCrTIN7amjUQfhquUjDJr3wrQkw7B4Ea5EVDfyjNNV8N
SfmMxLzd+Fk9XLH3c7O7s/0WZbb1A/V8caik18J39PJNrh25Be2VnIBgewc3aLstIZz5bw/LyIPT
qPQ1jhuSJ0E1bbFh2zvmCeUpLClZ0H2ZR1tgWp3ShMKJOvL70Hi/wAc6G62lf27M9kmZzS6wfXs7
+dID/WRAlK/zH0YA3aFq2RrMpFl41GTbAZ/oScUZj0yZFQ9uu+gzLJmf8LKMp1JFLenlS7zYaLNu
65qiXTsdnyhq2Q7AIuwKPv8EqgE3qrUBhkc1+t/3BWJJEflbWyAt12L+rZj6MY1eCCN/nUD7NaWN
Db5+z2Vynz+sj+rL+Kieh2vzhHcyRwFw/e+/o738i//1HYGaWRaaCd8l08N3LNNluP7X7zgEoU1Y
iA72CFiD72nRaLD0CSfXygRuSV6disMbeWECMb9tDL+Fmrno7CD5DRDOR9IS4a4RyPe9VWGSvLUB
jcobFxddF29yX1dvswqMdxoyRlnYzoC65QUiQL5ntpx+VnVn1wZQjFmjYHougkMpR/s5K9jopzZO
kh7ry9madfm7QNr0UgaGPio0/fcUYCtU7pgkDhrKaiq2Ycz1caz9KbvEo67f7NAykIyRvPv+P7xt
S3/2t7fNxolkC8dhnms7zr/nkzY+PtO+IpPKEGN1DlD2bqcqrU9oNeLXsifnAEFlD9280OFDL13x
rfGiKF/XhRv+BEmEgNsCtdwSxX02eDbePEbDH5Fd1PsUismOiR3ap3TawJAjiwr3tIBlYJRs5ZPY
YquWN6hYbFgHW8N0o1c8Qe4pduSUbrploGj5lMZrL5jzr3ru0oqr18GHMC8zSNZ3jCPjP6PJWdTs
oQNVIkUaqVef/rxP/99Izf8bA48c3Al/uVo2X+3Xf/z6s2i4fmWs0c5fdc7vJV9/W4T982/9awvm
/UMhvyK0iLtcun9ii/61JLD/YfqWg27EXb4IBcXnXygh4f3DJgvXNMEZsZjmb/2fNYEQrBYkObn8
ic0vHO//hSUk/r4lcG0CjtBtLQghdmoem7W/HwkcykbpslffqkYdJparDnc7xstdD+LHTRymEWzD
nbs1px+c1vX/cAiClP73Q4kbSkihoI07SvGi/u0YhNVmzSgYu21bFLvQ6niOV6PzENhYVpNIAAlq
PTLEku6TcWZ59FAV72v0k6jQK+4+Abolblh1xuorJiOD2BWZb4hNeRgjWz6UStprt0oyQKih2kct
VGOFXXmDtVjuXNf/VbhUQ1mZDrtKvjKN6r5hon+PSQV7Wn5BsN98MLX5PY5N9zFSdN4T6u+wTuUH
o+tItHe7HOpLmY0nd8mb06lYZ2rw9g1pNY7oPyZb2NciQye0+BVmC0RPQQ6HrWp11Kp6lnCbdhjJ
MVeF4YNjlevZygWW2D49//ki2pw2Z/APQSV+Ww17wkb+LNJDDVlgtL436UGntrdV0Rf8SdxBTuHA
UtY84br4uVOL4nKIdvUEgyePcxAOc0bIkHpzJGHuEhnwClABqMesBztAOGRdhldSPkMAIJBaRnPC
/kBZS0U9L7JLXONWsRuY+tLiMLCYjbTZiDk6iIaOVz0GgqH0wDZ/VSVdSAw6qunQ3JJ8pyLMgF4K
DcXGY7LKhkqsXN/ytzGpUaDY5MEMNh6RzRvbiO2Nc3Wo5dcqhcPT6cdlHG7GweUhyOLwWLi4l1lg
pSrtj/YobkzOVyAm30KvhIjhswkyJyLsSkiZ6ajOSE3IpkXqWNFsra3y02rDq+nUO+W3E9GjQXHA
oCAgdoL7INT1awBuoNE14kQWN1mALIBGhORJh8TP9EsWAHkSblW3OIStJ+yzwLKioUGRxaDBGniP
GUnuKK3IeGECtDJ7dYbIkp7qWnwxRGNUZ1Pm+tE0rtCLgnxy3kVSvUWdd2B5/FaSc5Q0/d5Fgbed
nb2XEJJj9N7vSAcX5E0VWtlAsRhLxNEFEgEfhtmXsMyrA0EDtzjXWmFT8cqvfkL765hfpbGuCkrt
UR6BqPAuGSFGkKzdCj0FPCR4s8PUeS9QfOD12oywg5GM6ltqAlYc64MS28FvYBa1CmgWYL4RWuiO
AE9rbWaPnsi+JlsSIDB1nxnGa9Ou440q+5QdmqCuQ3XdM4jOAh/LUOP+mPQCEp3iN3SVlMHx3mcS
CoxKbDqmBWjwvJ+hbewagQMknloiFRK45LGknYmn/Eihu6HOJ5MkstHoZpQ0ilRJSn4YX54bnjP9
LhDhXVDS+uhW0hnvO5jUlNQOy0vXWqLYkbwexjLweHEMYtmcqw5j8ECIa2//bAnqDDJZHgPfHBCb
Q0KqMtAFIc5KK8WnIhoPwCjsB4aZP0c9vMqISBGAFnrjEe4xE1oxZ2Lxeafjo7l8qVgZBm69y3hS
n2pfQLmvWFL5pC/2Kt/hYmSPkq0at0B9nLLZDMbm4L+jn17XGGFPnqkvZdE0TxLN6FOsmdLKrAZB
6pLtbnlFdejSmeGgqc8Wbc5zWT1YtfauqVb+jkZ14F3MEALTb+8sJxkJWIFKPWCto3f90WGYXtUi
d3cilZrJlIlL205rlIH9r8SlkvDjnOEs27M3M11JY5uEasJbIH6QYGxvVFcUF3OESWJK6xpo/wjg
7WEap+lW1+OvYQBekcc4ZdymUhvFf9m+FT84MY7oPgrerNwZXhyRE3lFz2tivTxllbo7ZVuflhw0
z26mh7G61nBjnqljyxLOUxCT+MFgLNlHEcamnNH4TmgJ+joUh1i383meMnuduES4IotLQVM8dk6X
7lzDDY+ZrcoNgR/b2m5JVS3c+tqWM/kdY8WHb3BAdXVyZhx1M4Ke7NLMeKr8ReU3+hWJANm9reX4
FJVfXVvhpu2r+iFOHX9blkb4gBavoWk3Tss4Yhdxq8GcIfrNy+MnJ6/TA5OE8tiF8d1vOvEwglZa
y9y9ksLsrBC359y2zPGhkOgdVKHy4lYAfNTyJebEz7COPUno+U2QXXuj02vLBLc6tqjOoum9IE/t
3RvBGgm3ewuTflgPpqxO2XPPn6yaVuhL7wbBq+RSWTUiAFJttHes+cazGuqTxypxXVRNs9NJZh+l
M7jrIPWjzazq4iQXALXO8eT2K7J0i29qHMiOTnyi/gzWYfTv9YvqvAYW0icy734rZxkeam/eGuo4
5EFynbKUJt7Ap5QIo8VLi/zNDC4GhXO/0k2hz3UOR9/11pNZ9j9ILzoZYf9cm5l494bq7pfygzXB
DEvQdZ/QPK7m0ZKPngs9d5wQWNaxvxlfpJ7YKigHR4Ie3QvLMKKLk/a8MP/PZtjAbJEuqoa6zZJt
qcr8XCTpazRk06p3bLXqGhutjySP7s+XIP02aS5fTzEFCDr8dQEWzlUyOu+hl9O0lGdRxPYr5414
iXzaI9J+G/+ba6fhXsUT3vUweZliplKx+y3qTf9bjVUEIT9ZC0KonaklkGHjl2Q/vK10cfVGlSPX
z49Gi28rdu3tmCvnEMf6KXTk0WN+Tt/NrhwWSo+uz0ZYBPjI9j6JqWCajz43sK07Zi19U85C5CFV
LhKpfnexVHlclXj9hueIxzGyrfncTeNzru34PGLIZYSJXVG5kBt6tsKriDN+mzlBB3dVrZlcdXsn
yqud2c7e1uoCHihxeilAwCY2q5S8ct5GH4WFNbXdzmnIig2rju2kVXwlfkf+ZNm9+PTnG1PECCr7
Sp3+fJksSd+k9Vl1Uf6Qix4HjDrAwm5ORIs9BaxfPsLlZqqy8Ew/9tNbbJt/vJvoIA4Wq4ljbpvV
QyJRtzTZV2SJaSs1Mfe6dPeJaNVj1XCcNyzCgVJIaN6TUz7MxfQjL4pgGblMW1yaelPg4uHlGO2G
/YW5dp2QOoDl9mMWfsd+hXyfNFl2pI9mgjswZzxsptnEcp0BFBws74jNbjo0vW1voxpXZ+917ipt
h/Tk84mtGNJ3ezBZRE7Lmm0MnqONAXZkMxgeJTGmUqabpfcInBflfl7+IpkpeZJcAlcyLpmpjlpg
JQGkbhrWeJQxQGJZFk+yF+05mGLrMMzT9zQ2/VPKc2dVG4OzKf3kVxd44CjMtzjpslfjoR4AwcTG
HK3hRibrzg84OpOJUCdX3ado7i+FPZfUrLkHA7hY9O9mfxij8grDUL10JhayigXNaz/2JKNS1cZD
AfOPYdSpSJJnmQHu7uikCVmHwZSOcAZQS11ML3pFttOeNSCVveXT8qZmYD2jVUetYvPinCAFMlBo
qv4GvYcygyOjyp+D+ppqgNTYj48iqi6Oa0egCXW1mTEOkUFes2dHkEKH3QO6wlJBmZp+wBOvj2gq
ui2avL7kwSmSRD0E+O5XDeEX2goVGaOehPDwERjzcAdCZ6z7InwkeQ2BhAXFkrk50IsaP0Ouhu+K
ixv7gJQguQSuYKf4JobhmId+f7HcCLn/RE/f469+bjSzeDcltIGTZgf5R2/dzurXfpnYG3I3SPGs
QHQi5aY48niPUATjHZnjmwFUkwq41+dc2i2BISRzlKh4UuMFPQVsDNNcMPxwhLqo1g/tAAgRyM+t
tGuMPRIhypiTJWbFV0vymOh6p3nuCoGXglW5WfSwkmFur5h1dayRM6JyrNl8PQyEVVGoKTcpzrm7
Bu9hnuz5F3InuFHFfCe38ZXcswDHqMInrHD2Oco3rnqGr2XPcX4eJJy5YSIpICm8reuz/rbtcWZK
aemNbZYd71iYPGB1PduFzVqrCrdZ2PJpc/VuM3BU6wjIzjkw3eocE3jP2plgykBkWCccrjMRLVb4
ZPjCXsBlFPtA4l3/HJUGdjRpBtc44xwJwBSmzGeOoCxxygw2XVseuevJKtAv9xMJH2P9JpLL7BTt
qa5Efxza6aFoWCoAABevs0erOGA4psRtq+do0jffkOcsdZOHvqAd6BcINphSMrwE1g27jtyzBbuN
/KzziD9ki2w7Zrj7I7Cd+h52Fm0g4Sqoi+JlXj8bwI16cZCDE22jRr2UdSRf28Y88bl0x6Dzf1gv
dTfw4xhcDlVoHwCrMj5Mp/RxlOeyepEAWre+WdYHf/YgsssgvGVuOGyhwlLQ9QMOVR0VzNjJJwkG
HvmhUvnG8yL9BM9jZ8v4y+kQYSEhEXuf3RrDLdt8ckvnFhWt9QjVKlkHEQV7FqIJaELP3GTKwzQd
G91jY1rRgb0WbNzKEmsrAxhAGTbcc2YmKz2PAztRmNd9gR6sh0E60UB0RRKw5dbugzXn83bMKgQ6
Sogrz2Ns6BjJXUTrJzy2OJeNqt5mqT0cXfcadGQLcvshCBhyQLMLdxHPTs+Y+pSX+iPTuCMrYmMy
1YVHM5krbNbS21QwgQ8MKE/V7BYXaPt0kKk57ya0Nu9FNx/r2YS0pMDFmHRsLJ1TKMBDVD+N+r10
PPuh4TIbw1a+DcCV/izhK+XerRDeG1HIDz1TdDgN6YdQ0jgaQ/WGA6g+NqFO1nXXeSfDS5o19fEj
/LmZ/bmDTyV0fhErKH8Z1cuEWziUhvsYcMndYVF+RpOfHGdff/uTiyKz9tMwvPQkcG8sHay3TdPE
OMrW/sVw4JNVEqV3DNpMhF58jdA/bsbBfeKHc4/AZqmchmd7GuSzSxfipvYzXSbKA5igc1+rvW16
8bN0jXA3K4x1WQYVsBfV0e7C4gSS6yGIKh8yifTORE2Eh1Jb7CEQ8EAZCKkm0izfy57eLbGRFxjS
PDOFZB3NwmKbwDhdZJnhclJ/sWrCsCMJT3LD9GwO5Mb2bfUryIv3vjLUU2fN6omtOpFJcJZJMRoO
quWsiTlIwBiVl9Jg6UOb+KDTSfKhcgLlYnx1CIIvbLfd967uGNw6wWYIOn3O+Gd22K5+5qLJb5PA
oFFbuAAhSu0rmTWv0H8hMBIXSYlH8lIi3kInTdZWYUALlv6wbaowY4uIVVUW5s0y6IM4mD3kCTQL
fR5iCu94yGSj+9J2UXIStQ23EXd8izSg6BL3jDz4xo7eOjnsygBFLkizyt2UaMt2aRLBbyk0o6ke
c84y4olNQ5xQmDeHsG9B6I+ihMY7b6woA68hyy+++yrurPBHE8WnuIrDKyoX7m4Ko30RUzZORORU
w6zYwciXORy7J5W7H9C1bAKMigVEjCRPI2ReMINQG5L8+0gxyrOp3/g4tXcsdaJbisBoY+MUJDDp
lMrhHLDNWbX+sKv93DqGcXSdWjKDzKGyES2gQUjz8T1pCp4dGJI37cT9TqLFJtHtz8YynZ2eNnbo
0dkafJCYQvaxE+5SjNMvPbvNjnBLzPPVJ9BC2JKhAD8oIJeLrr8pX1+Fs2z/dfWeuvyHCr9GQWhC
mqKFYakKAysNHsLtwEEaxig0y1WqsbL2bWadJzeVTNnmbicGhWa36l89w6ZcVexN8FG3w4rREGlB
UZhuqgZHeo0HNyqMR2E49iMPTF6FRa+MSkDjJ0u/OrPXl7qXJfD1AwP9fD/A29hZI+nB7WCrbcw/
va0N6p7SneJLFTV3J0rrIySH4JqSQGZlcp825R0pm/FQDsMPHYj0FcaCEwpzgwd9fET6fGSfXq+i
ell29yhK3DG82nb5lgcQQcVAq5SVwxXxWAj1N/7wgvIFm87VzoOfwxgAJwK0PfOG7lunibcN0nEo
LM5A+CaBKaZseDiyuzgY9fjDSIb8sWpvnLolT5Vj26QX5VYGdU4Pf2hO0p1loYXtk+nLC5wcB1n9
7IrqZ1vBghcdhBbf9a4RBJdLOIpf4TC221SgfEDrxeOQQrrkMeLPqbcbYcwAnarZREV+csuQqW6K
aXTXQyWbM46IdY+wAuZqzwavpxuOSi9YJpnxh+WEF6PyWUlxQe88zPwYnUb/wwgI4q3M2Dh5CtMj
4O/0lCKFXKsMzAP+WBRQxhhsbIh7a9eltM61Ye8Zj/As0xOG8sx+NDvyhqlFPQQ0brpzcIg8xG5H
z17EPyEcgSrpkpvD3fwdp/M6bP0LhgG5ahGuMkNJTlXQyZd+no4K6S/pMQojSTdtLZsVO5J3ZpJV
Q8dtg8tgwY4mfD4NtoMKJuER3pUvQ2cLvH5pzv8dP7ni1Tb7/N4HCVFm1OhVR5ECLEwd5LhHocNL
lw746Y4kpCVVq2dBt+XsZYB+1+5SVunw1LME3qnhd+OZFm5W/6dX6oNdUDH7U8zFq6udzKpfIa6q
y0LR8UyWhbqbN3b7x6VVoAqp/RMob2+VAJ58EuQ8r2Mt3V0D83AXeGhEEg/0aEvX+DDguY6ZrIZu
XN/cCHpvDmnHx5DPa+pafhLcu/aIR0CbfXhErRVuIBViZ4TADjG8vtWs51a+6uGiJWW2D3MWfaS7
4mecYNcF1dyxTjdOQnbjIZ8QpmfxfM+Eis68aeE+zeHEauVkSLH4EiOV4fqujq2oxVHip9/qPtlw
538O9WzdfJyUGCKNswY5TmbZGW9/d4qkT8MzFD3SHwSRM1TSLs/2At8fopnJgCzvfzg5Ew53Fu0l
oofesRokjtnwoms0lSjW3e497uoXINTPOs/mPUZWsrgXBIc7EjLfGPJKpSyvvu/qfR64w+rP77U1
uqDc6Hj0hZBjqsDcNt2cPpr19M5epDykVvNYhYb1PCjzqKqnenQsUmhYlSrT+dHyee9qu6+OrG9P
PhHWq1nK7Mqq1qRfhksyy+nolSI6Ve6Qnxu/Hg7os0LSCDpmtk4bXPEuu9uQU+Upr3J7g6QS26py
P6wpGh6LyapORZjfZdVzSgpsF04RDneG5NPWCR/sTsBW50HwWHZizRTRvA5R9+XP2BjayCUUwe53
lgBl7jtO+tikXb4hCTHdNnC7biGnllHn/jUM6py7pPyMgtpH1YbYqc7YoSZAJRGiZ0G9sVrQfvV8
iePMo7lD14MUn9MlNtCPeun8mCj2GyxChj3hcl1R/6hn+FVlGj6YeSPuTm4gyig8fSyTeSRmEWh4
3PXFjjlCd/Yxzm40j2AFV/AXPtgvgjaY+UJEJK0CrFZWOpTx1oC/yyEPUGcIOdmAZ7cxED/AYk03
2As1U9vkI0c9e+wF4fVJ5amnhLtWwkzYdBBgrCr5yiDmQN/YVyOJndagX83JpGUr6M+sJTCB/C5n
sfC2MwPbCVBQtEQZ8SHVou4J4gIdpeZqO+Ib2loBtu6hzRH+93jYbLlDCPGZQiPYObFVr5EooH6u
y3RrhCQkdezqhYXVpEeh4nn5Pgz9+xxMHYMmaAJJn3vnBpAG6eA+cKG6t18Sy/5Iq8gl2ofngSms
FzOFO5mCJ6jzzCawDd6E7kxNR4yADdiVQ8USjtcyqRS9ZlOdQC2S2s2J0mMrOqBFoZGa2RRlZgZg
MoJYWeV+fsv7tDw63fheeIo+xA/MnRnq9qUXjtohdjc2oWvdAnDKx2GQ7SmT3o9KttaZMeaqdvry
ZIVvIY6bG9nuNE7u2XZVg3kvH18mfUL45qHfRDNXmxVAz5Cs81pAe/PYNsV9HsPrzLiic+ZGSOPr
59RBcQK9+x2DQf6SoZi1AueQldBvkBlXO6MvmOEFHbimgD2ONaAPChfUu+mbwPIMEjJj5sUIt0xi
8VzARwOPNjYsxnFI4mJXOK1xJhKLBAQWFBI7yJtfIXLngryizfMvJRhTOzHnV62X/KNlE9pkHg2q
Pbx4ZGd20FNgIZX3WVjGGuIjdoMaNX/lzvvAqcDlEyRWGl33jET1oEVdP+JParadQrSapf5ubgBm
4oJ4mZJYn4HTH5Ih4aGTSnmhwiSbtflZjsKErHkrUYESgy0UutFhBO5BHmGM/XFdjxSkNV4IPO7l
LvfD8uZTxxAqONzgHL1Hsensmb8aFO2VRv5bsBBQCp0Co0oSvBA8RPaOqL/6TKiZPpuUcxw29SM6
WcBMcryOXOPWUMYccG2yWtS7j7PfXGPqgS3vJErLQj8kbeKf64DRuVjYNFGh6pMyq8+Qge6+CQaA
TBigR4u1TmkIIrLd4Qq//TmseuPDFVhWToTC0w1HTvuUIDVqEYoHhdee7ExAiIzya1UBkrBjclLh
lyniAQgtbCIU/B2KtV2sYhhJQwkRBHraqgLFf04Jzl5jmdgNRkHEZIAjwCXbnGnO8J/sncly3MqW
ZX8ocQ19Y1aWg+j7CFJsJE1gaig44HAAjh74+lrge1lZN60ss3JSo5qEiZQuL8mIAPzss/faD2Hz
8oJXtTe5SlwLyY5bquHk+AoHlVWVPxbYVg/vdqjVvEGlx15rGsMN5ZAcavcVM2nzwmm438WGx2Jb
/sxn5V5CtpxrKubNtcQkuyeRVGCbpDPEqt7m8dQHDjitcm5vi4SbyYJLoR2IQ9B38y4IAamjb+6q
OKC+cgLN6Tpkbiovqp+jrvmlyLSr2mmfHTLwq3iGO0uc5bURRXcrestlVW/v46azyZVUdCMICx+/
Mk2xt3X33SZZfubCy+kslLh2oVZNHs70IXElbWhFt4lTh+zROD6UU+q7gmEStKdOON2Z9Y51Gbu3
gWH4ysmc9S93G6ATmbHrdY9O0IjvJUrcLkY2Tzn/gOLC7RcwKFeZ38NEdGBB+86bY2anIS2bA8IW
LahThBpZe/5myrqUIE5kr10Y8Tu/gD0X1Oyy87LPTzPtsC6w8HMfqGOe+2vRAoxl1xBtzDbZB4b1
lIXJj2iyj7MktZKlamcX1oON5UvvMQc6Zc8EY/pP6ERIdjVz1HKmi+vqi8GVX03sWgar4qm7WPif
UN/DU26Ez6y7X1RmPprppJXFXiqpJgYK1n4smZic6xVncmqdwkyuXJChCgpd4CZkjurhD5rQAhur
h3WVwikJ2uSEyulumojqGegVX0XVz2czH2g2mNgrJDbCrgwFrgHF5Wpcv2BKxZwtE7x8KeFIaCaw
vUANh/IKvi87AbxN9XxqfQNsYpwnuI+4jyh2iCLLLnbZXPAdsvtkv6h7wlht/tsnqES1Z0SWMyaZ
PVsIzVX6veHJZ1ivcALk4NBs8T77PN+AHEXdD4dxpoWzTu+Vk/5qHOc+OuOCi8wcOCRInEXFwCS4
nMPtoMt4+KPAN6ycpl0hw3zYxhDBTSl+uuZA5TZapvZten/CZsdrCww+qP8UN0GVvkz9sHFGtG2H
Mrl9P4/f3ca72hL7aCFtohDBYYyxvmv8XavMm167pOXXS0jQhotP3mU4S3YZIfkjkQ+kcH0u3m58
zV26SqMFtzikjGdWpbnE5kdLE/6JZlAVaQhPVPaXwJNP5tAVe8FdSsbuOiSgsy/YZE2J/9CRd1Az
oKDKCTiK4ePlDXoqHBAQHjppbP42wZus5ejVK8yXe6vqv0pOFM2AjCMiqKeh717BtPwOzGJY4xos
Vz48NhE7zpUuyaqvOTAuMCWw7oj4KvB2U4sDziLo5dGm2WN6yFk/r70ejHpfxDu7yQyobJhsTUne
XrqaKkLOATSGAOhqTM7/K49GFIoT4nEf6ZKJWVIZIGhxZGdB2bFHK1Rj1R2HOw2p3BKb2J3yJ8L2
mrFgwBwcDXI3mKRlRdZdFVmadUmf4IYDitz1DOjnqvcrpqTO+qbmG1w6utF9GPruH0ZlumtTu7+B
WX/BAWJ9zRczQLbEeqOy2GUW/SG47XsUveKgyuHYqyK4U20OF8ykYQbX64Qs31IH+TOcpnJnTDQh
9bo5m7b7R1HN/W3uA45D9W3kCnqZQgOHvoVRuJFocg7hP0Tw7G7RgrTTjikvbUqijd5oY484e+e0
Ir8XFqphmkObGzv1FjTq0RIi6ancONZVWeyr2Io2Q1K6qzo2Yt5U6leuK++Ggn4IyobbFzXBcHxr
9jRR9EQooT45gtnSL2hAIsCS3cpAkPkLfXzzWBbZ/AVnvTyMGox3I45Gn+lTo3W3HeMA6MiU60vv
CgMUR8MrDFtGzUKUWlv7bEnLvQww2VeRidsAonx7zVvnRgNZtwfzp7cEIbNzOmmbPnReYuxV2o9E
XgD4Vr9dYfHWTbFhd0Ux7u0gdI5O3XDBx3+Dfead4L06m6Clz610mmMjnYeeouA8EKUlG13iyA6N
zW0ImuBAQVFwHXNasIuraGgGphaTXlE3uIpIz7tyaP7wsgfJaK/oWIfe6tflNVHOk+dCah3K6YMT
6DoGtL+J4cFuQ5QXSbBwwzVp+l65P2yz/TCKCTZPQONDJyb0ZdN6i7w8XI+NOZ8p0KmJHlbV02hX
4S6vOTDB3p13gNpSIvD2vrJJ8ynRPKdd/i0nLqVX3Nju+LzTL7EP6NEMP0bwP+8ZzVNYravvpQ2B
ZiZnDcWQYojZ6Bp4VYvdRGSvMAQzEKqKrq4qf8WX7pAby+IbfNN+XbGKpGmv8A/JlFGZREQH6rDp
7b00xOKecgA1nDVIjPKE+Q4De5ZyP86px8RKVe4BGH9wZLJ3Ma5zmkRmEKulTEFCV9H182Gq5+hq
OB7vQ011a1udCwODHEvXVWv87jOzeUba9r9UAfncgd5PtK6D0brms98+XE1pfWUGAO+iFwf8NUep
Ud0GPDus4juEB22cx6i6N6jDR8fuiDIaJtkUWmKg0PRXqkMmJj/25EWtwfy5bsCXEpz6lm395NY1
neDqnX1keUiSChBtjauv1tPDs3V4DGTwZiy9BV20yDGxvlEWvg3atrkTMH0LcXmRlvOoiwnMaNuT
0meD1wP5RPfp2KHnmWwwF4w/KzNZmDpGdU4qzdWnMPcYib1TNLZPVV3n3/PAW6tgSrY6GLlkVHK6
Fpn8PbbTUXna3VYlmHmzND1IqVDqYaRzN89xVMum6B7AtNaatNVGiwzM8ZSHNxtdsMPOc228cuMT
AmB9jIWSEjcX9QacFvGu8hhR2rAm84gpbSS44XeVcRgUrXeVkZyjooQ10FjgiCkd2nR+vQ6nCzOx
eNWZ/xtTDk3ao/uWlR4sUhlYS8V8/1RMw5M0sv5MMYd0BIDVqSuf+oG+J2gMM8vBrHyizGRCcm18
YJZHtqTtmwpn8bDaFjh4xtHODer96GY0nk31d3bvasdzRLXqJKttMav8Jgv1pRtj5HYy8UfTirA2
sA29zR7Z3Wr4mNJW/wzc7kx5pXt0+6GFilDdIraW3FBInFgumkRN10QwNVcCz9526kWIdkmbpYpm
Yo9I28fKBkoHduWcxCGAUNc6+KwXqP7hoZgxg7GG8feo7Gz1g2Kfsa3azKwCwDqMwWHyaQJqUsX5
A1HP8r8SfBe3LnQ+SihZ+z7K3/M46a9d7tJu3zl4vsxT02JiqwnTcSUAhMfSPKAFA2CBAoqwEX2K
3b4IvtnaJscKJWATVPgiTXd+8Rszpgmw/fBxt65UmaiDFc5A7DNZreqA559MOeJjOz98B/i/JHrJ
wAEng4riuXsL4zpeUWiA1ZGYFOAPzotD63+dJvOGYN1uJ6f5rsnYrv14ADWWRD/9sEBIGDL6ETHh
Dc9ZSh1mydthA+24W2PS3S0SUrSh1Qb4dlW90Ujg8U0aEEOpxMaBC+1N34rMzkiusuoeQu8nMAGx
UWX7FtvmwysKrO91tB5d/UYjxMMIw54lkwHJIrPOBTJPWutXMZmPqKaoKpg7frRF55/MeTtTfpFF
Mnv2cK+BqHgx0AVXwURJElGhESPARFJMS5qfCSbGU/2Gdc1ad2WEAbVG4BDyHqBE7oEJYKzceHYb
f0G4a+8gVU9zFf1ui+Qd/hTEhukwlu4PdIsvU827mLeogxc4N+njGO114fG7p4vg8fkNuhG/3DIM
olXlPjgJ/NRF+uYkycVuxlvcj5vEir71ggunNQAv1nn8rlwsBaxq2T+R3CC4jb9/flC3YYJ25ekM
iurk0tREYORRcdeYwoAbbVVRmcOAu6O2PLg21YyUSpfXznfoWww7+SXzeUWZ5IRHU0dPqHynOeh8
zGU1OtCs97DUuHdB9Np8PpElgfxVINOdQYnxFNU0Ii0+kwlAyN7ty/yGOrKBi+uhucaUYHl4xSMD
jxz0k1XTNVCGGwsN4HvtpsEBe9+G7BKJDt3/mig4SLR65S11KijKYSLk0AfL6uQ2Zblx6BZYxWpc
5itONoJfgFTRT1HhERXQUVYuO5lNVZNZcymtchWvOFa39TZiLsVRRZGAruVltPQXvtvh0M/ykI3R
/DROzs+YqpZjXZtHzKXVuTVjyIAiBw0dx+0NKdxjX0t4EqeyccEK7q6tlE1H0A2QVTqAto7bbcKi
fp9TzoQww+9ZNe3xJz0bGSepLp/mlYyDiXPGOF0JjYxbM4NNHqBQXuypUZeCW+5qTgM86JaXX6RL
xUGo+c3UGa+UavDxiMSlPiclFh04RDvuN/PG4CVDXS5NIS0eDSQXLgoBV17P6TnX+MHBcZVzUosN
L1WsTLhYFRqYfRbKjKdLopUo2a7TtnvyVRrtmxEgHBYrfWs56YCOyOBXYCMsSsTmPMEYrMs4u38+
jGEp7203fktVG29Mr//dVRVuZzCuuzJv9a1n4U8pkoNbRIeomCELJDo29qH1XFDLcylYLl78Hliu
7YXH0vL7U8MLMjezt7Jt8AZq38Chx+9gZK9YZH325Jq/hEn8u6rZCXY0HI1slkFQzG9QG7pr0lR7
iIPzXYl5xCy8M58EcdWNirpka86xd54VZIHEUsEm51RPopRmMBqddL1zPn2edItkYfMWVP1AgROj
bic02zcVwCByvD3fzczQZaXY173hjKkohZZNw6pHMv3KMQRLnFnXK0NZr20fJHf81w1mNkQmp4ge
YohJrVoCYrPmKqMKtQmctjnHgeatkOibE881TeXIKGHoQNiF3XcWudEeHKpU2Ww/wj45tNBlf9sD
Y1fYUhhPlYmxmwsL/EPo/yli3MFZoF87pvXLXPvpltrk7IwDa96xaCLL1xvVkQUaTqaWX560CjgP
ISBsI5gXodKwj9xNTj6a5FqKdmd7BnNFED1xzZ3O6QwHqjfUdMi4zVltv8KXIm556XJPTULQ/7Xc
kyTtdxglW+xsc01BaFFhVUnoqQ3mp1iGzlNCkvs8tBJS1FibW2NMokOEiWs9N2N+86L52LJDXzuZ
bA0K5HR34Y14cXuHcq85q48VxbE0ZSA8hH5KDw4++j0KerPLBJZ8i7KFbZmqko5MqNKcX0kJ1hAP
egsK9Zhg9rESTgLcHsfdiJBNnyF0XYo7dvAxxwNiLiaNKruPwoMUpLGZFDauNhzX6XMcQmZfjPK2
MFr4hVgh9PLw+aewCaNjRRAcbzb2Z6Y7HgqgNnheMa2qD2ZnjSsGLn4XmPWNjSHJFtcEJ6T0Kkx9
IE2sok4OdQR8jwfYRP5pHDiUVJP0NwW56UvbmW8S/8IqsxQ1gnoCXm2wgLWkCnGZvRFa1Bsp6S7M
O7CiLkDPLYslTG1J5jyAKT5NwEovRE3aTTx6P8sg/gV+qd2VWdWjm00bcyzxhqBAr/ywbY95NP3o
mCdq5ctLbmRq3bZFsxNmMGyUsn4Ocvo+kgG4htgsCWaT2HezewQOYQXvPtmKQTTXzKEblTvRoUy1
ZJFOj1EVg4sK3Tm9zo/BU+6LlWHkH9Oi2o6D+chkxLkoJXYUhTxpQbJuZX8NAf1sO0LmB2CuESOJ
bs+QYb7y1u8Jzpzb5aFsHOP0+SEpkyvnnOTk9Utjg8ZrLoGzo2HAjWwWZ2DYZpSvhn1gn/7fBuGA
vv0qq6lOoSr96/6jXKJmzf/4WzzuX//+YfOPj0HDLQm1v32w/UyrPXUf9fT80VCN8W9QueVf/t/+
5T8zb/8VOtInevufpuU+6h/5f4jKff4n/4zKBX8RVWQuZkHEq9Fbvtj/ispx3YMm6WOYclzwx/8e
lbP/CszQCsBMOiGwO4+Y7T+JeuFftstVPyJzFtATTz7/vxeVswjk/S0ICsjS9yzPhFzp+tCc/kN+
NuoyypEkNDAnbpeuJ3Fx3pUzxFcF/ngdW6RgUw0qsoTNB6yCqUFa7D3gz6pt377Mgnd/Kl6IgwOd
To1mE47EiuuWwbEuSF/Hi7ZD8Wt20L7zjksROwNg4zBdascaZZ0c8EGO0ClUF5cj+zzSWUVZkW02
Z2NAmUTQTiQbA3ME92cEobc3JraXk2qfoLO4d1SwbYgBLnL1vM2gYTdhwh3QW1j4VKSGids/2gpT
IfERHXDloCgPC8ZsnCtoz1w6gfTzNlu7w9WfU/dQzy0tt6FOX/1wi/mle5mS6dcoAvPu7IxA3rtg
bt5r4ArrxongdHNl08KTL1nFPCLS/DLrAS6bpCOC7saYsbCdGe2iZzbd3g4vmbuvoP+uI1WJ58Zw
8n2R6Ce0Jpu9zUxHWCurp9mp38qxZMs+j4xnvXH43G+X0POAkZUbKcb8EUGHIfdDDUuPMYoFwlAc
eqvC84DssCIzSDUzS4iTTSTs06druOZpnN7BuNfvoi4evolMPlTYqcpSkzBi+Ng1Xs2lNNG4tMN4
Z0gkVx263c1hXQJEyxu3ASbdoRLyGwLhLk9y+4zALXZ9hHcpKjOH6xxo9bAUX5VNCKPvR+fW57bz
2mHqisiofR0nryY4hrYxW/Q2m82ID5ZVRkSfkqaZr5xtFxB0tyi9Nm6CEdNOZBfrKTXOniXicx+P
64jO6HPmUiBR0TlvEua+WYLXmR3VPoY+iMd5F76ZWBfu7KLca5iYEuGtvyozK7ZukLOp9yGbAaD6
FoViH0tPPSdO/Go0Ytyh91IA4m7lszsOxTcxA0XG/2GBpKJVqDKcVTglJH+84OrV2j+0Zv5lLBZa
PctBVBR3InqVHksayPddR5y6ED9pJIrXeUGAIxmlcZqwNncAr/6RDXC88Bpmc32gqGjGtutOyM28
NQyK5GaDn1A2MOyvbNfGl74fmufGNjChNHSF2o6zZr+3pbMieXd7lhFT1Wzx19akuzwqxvNS3gyd
f/OSjqjMyLsidqZHmeEJkymTf6N59ml072GbUAel5/CCU224FS4uH1HFX8Iq1nczAOXalgJHpIx+
N45dfp9IMHj5mDsrD1bmjpbxdAvdhZxGbn8EFmQ0wCEkWEzjRHQeV0eR+7sWvha5II7usec/UqaU
m4PJlkr5BprERKpJ44jzx+BM/gdnY8hgDRQIFDz28mNEBOUMkb1g99qWW6uwca7UsjjBcMRGk/L1
SbgcydE4F1sVoJmb7yHQxPtYcq4gCYGnAWBUtAoCE1EIcWkAlIg4+aLDDFQ5Edtz31LQVvfFuBYW
QDokIHZLPkeZ0sfSzUByDayWaxBvwhXFHWhHY/RazH2zyxGspnnon0KSxSulObMIzIZNkKCIcPrd
g86edm42PePcXA/AkSgWwi7oQB9d9VE6nlopu2NSiifTT6h0lRhA7OAax+Gdppb22ADs6gFJ3gwO
x3fpZj/cbKRageJlyN0F8+zEW6qyfUWp1Sy3NN4ygBMh2eQ27ViORSNZU/fXFIPTQcbNT06g0aZH
1V3NXmGca0tjkAoyYn9p/2WgmUJWLr5Kj+SXqdp7G6eHJsdJKe1g2nme5zx1xrJeK2wYpBHYrzyp
9mE+fMGDNrIRH7lZtPT8ityz1nSolU/xYszN5UXgFWW2Xa7tCbeUKSsAqRljtcgoRDpKN7yjqyUY
DkfQe0GhzkqAisSrtuIUhx9d5eWutbphK73sa1F2L5xCSSIJOJ8RNtSmCNyXWLKusjMxrac4nii0
sLcXMoXGtRX9b6sb50dTy+cwRXdiYbGr+ti+GKyxxwLGu0vGCQbq8hVo7NnzL02U12yEZDfBJkLm
3uNTk+tEDl/9qnS+ecN0iTOiUJbsrEuVz+06L0X10jaokVR4QmpPl5Ceb6LtlHJJeRZYHXCaSrs9
6irewTClqKXwj6bTx/c4Ves5MPPXNOJm9KenQBzeCPfkKBrlXUmfWZvA7aRozsCii4EAc8bJCiPG
1mwJ9CX9Oca6GmSU/XpNdeDwbeCohoG6tkwfC9nQ2y8ltTNeG2Oy18bMXhKnYJtiC2aSsVcz6Ln9
mDb1lkVQkhBxM2LKGc3BvcbhdLAWiZZ10YSRFZ+pNSlvkxPnJZXQHfrOqa6BIFIcWaydrYPB/ehS
4Qdm5WtzsxL8IgbtsP1nJ01f1DpLcuu39VWDyliHZtJ+SbLqyeWnPTIm+6sa/e9OJwvlrs2Vwg7z
OnJeLzi3p8sBvluO8mo51DfL8b7nnK847wfLwT9eRgBrGQYmpgJKWGmaXQaFionBYHIQywgxL8OE
zVTRLuNFuAwa3jJyqGX4oOTD4PTJQOIGb9zZwou5jCoZzVZbAwDMlgmTsLWcCNKEZHIzDfzRaYLt
tAw+uOjcZRAytapwylCrVWZMTxPzUrYMTv0yQk05NuQx5/NZlX0wgienbBm5smX4cj7nMG7MTTxH
RybP4pQuD59/6kywcBmTnLGMdHoZ7qgYJYG9DHzTMvq1yxAYMA2yqsVTuAyIDZPitIyM9jI82ssY
ibThw6cMmlO3zJdTK6gTV1h8Kb4qWEZDlunHmeKRZUClWKzeR8vQqpbxVS+DLOb5+ugtw63BlCuX
cdf9nHy7ZQgm2QKsibEYeTJfJxOjsliG5nEZn8UySBvLSD0wW8tlyB6WcbtfBm9nGcHHZRgPmMrt
ZTxXy6DeLSM78/lKMsPTHTEdUo+ygjmt5nMRGU8st7xjg3dJ11mzJnh2SgZkARjQCASLVJAvosGw
yAdsM0iTw1g76rFvUUCRGfQiOJiL9NAvIoQxla8zboqTL9w/xsQOkHhtvIs+xYtFxugWQSNC2chQ
ODKj/B4FqjtMzeSco0UGIaxDpcsijdC5yxYGtSRcZJMC/UQtQoq5SCqWLM3LXBggGJFb5CK8dIsE
kxTWa7GIMv0iz/iLUDMvkg2oaACZi4zDESVd1Yu0AyuK1EMePWLHzl9Nj/hH+CkFoQnZAam02cnP
lp1xWF6EI/WpIYlFTjIXYclaJKZiEZtCelnXIAzGNWjm8mUOpv4SNf4fQ1uET8SkzkXpe19mkp38
QteaC8GtmcvuFo/qYZqeJJEek5Ms7ejJ6VmesAN0zvkTIp390gwqeinpYJN2kd8wma+nxkY3benT
NJ6jsvklRNXdhUnLUgURwMucfdz65VlFeOoFt6uVTJr2TNBPvWB4TIkp6XEbtUF7sEj6cW22zbtR
1LvE1V7BAtCpKFvOgwV3ET/PTlU/QXGiQW6Mnz8/lS94Yl6Y/vbzw4RXKnr04O8syoqAA9Nn7Nns
7Zw5CXHrmkcR1QSK8HcTAYlqMITeGiJ5/rNo5WMJN298UCrHasbR0YWFcUqaYXwkrsMVgMrjV8P7
JLYh7tuyp6kEv0s2G1tBnOZo9SD5LB3yHdiCjlZlr7k3c9oaM0gitRdioeis14DGWPj+yP/sASkS
dv1vZPG/OLn9rVExwN3lf8FEcsH6ozaGMZ7TIbRpKAz4tDBZubvDpWrGejuoaltrOq9K70ClMXa/
9zZ3ftVugjOsM991VOwS1J20fCvxRInk5AzfLFN/kRWCnoN7JBRfelFvKhefFB51YSXWKiqaUz7z
5UufW2tWO7+MGrUMmJpVtvuaIloRUxo6imPmaY4EcBXWGsF8AGvbj43gtQN8EDW+fubYoZ91U0B9
o95k/++fMxhIG2PuWGak9P/V4k9i6w8Wb++RMo8sWgn0TYjgS8yrFfLFm7gKZC0RmMQJX5IgJekv
xK3vaJfOc3XiDqFfqUuOn02t+a1b+jUt+d/iI+ByT+CKq/mGtQr7AgHfZPyYuoSjgMXtWIx6ujtR
qp5zoqPkydQrxTX8Zcjy0Uuls3JT3GmWsKe1a+KjbIeuf4OnYYcgx9ndXbOa9/4clhSShNrZseqX
pEUqtL3lWG7RhM7a3T7nU5s/EOBTClSMZDFI5g/TwMgwf+67dWbftGK/2lACsVdtZ93YZli30TL0
Ab2XssEub9b8xKzhmgwHFLo2d2HizHj3jsIdgE+1jvXSLTTCtKrE6fPDQZFbMlIv57rH3zKi18cw
Aej6+SGSXnbzG/0GMi7+MtE0Hdb23bXS76PiPZrXVDSGsCEmDmHwnOovnw9VyDNR9+Zw+vyQ65+i
azqZVtZkkbxg1bXvqKZ4+EHJXax6jscke1iIqyeZ9q8prPiHMaJB1K3VbH1f0bwaA9aPzZ9FaFUE
7udviR0/IbwPpxiZ7k5ta3pn+DnXYhQbAPWaDJ04GSrzr9zkv3pt5h5oIXizcHbuvNY6UTW8ZRyP
1laQhRt2zd2KrajzGKZ+G767JbHEmkUacT735C6H9gkdFOxwQOyo4R9nDNk7zdXqGhIbOKOecuzv
/cs/HnAirEg7eFsc//oSCas4FAP5GM3zN6AX7Nzl8+SU20Me+reQsej6+SDEvNY0BV7YcEUnbWNm
NZLZXI2d/j7L2T1ODnwuB9WD63UGzZpKS22iObZm4V36lDIVR2Qvnw86wnNkUkKHjTvbYyioXwyY
x8jGFpvi5cOUHNaumgl4UtwFEdkbAC5EKW3rGuCwXpzTrUd0Uwrn7ivbefl8oMW0p5rMg0N3qojZ
vNC0qpa1lr/2TJbhdAm1e9QIjAZ9Mt8hFscnXMn30RsI54X9e8TP9DwW4gq/cFwng5OgMpAAbGS7
tQPWyGpwGOypIPamW9Im8TZRTwXGlbPoreBhEfXAhV3MP0fc+IpU9JvdIcQEy0SWcLW1oqn9ki/h
l9DL/V9jyquP7ravHvEz2M00OqR5fkFVkleDJqoNg2mBMGTvu9i59uY4fvRex0YGYdhoooRX19xy
AOqKm2RFeSJ72O3oow1eGAKoEevi9MOGW5t77kwLHU2V3kz0JW8sJCG2yftIcRIM/NoFjMT1fvb1
HS7KLfIgtCCk5Ze28ED2w5LtcX7UNt2m47RMohXbRSWsH4MBuHKGi+OM4r0tDYdLhzedLW7ztxzD
8qavhmTvjDrcU0vLfYx5Arppt448IdcGBes3QwzR5l9YTAdSmg3Ge22h37jJrySbD0YCNb5qRLf6
F68CsN5Vnd5i3PglouCSazCrHqwiPIotXHbdA5RYYDSt8+3/69Kf6vZ/oUtzmXZMdOXIdnz+gMLz
nzLdLj9+U/7yvwPd/o9f4J8dMOZfeDh8B0WXdfLfNGv7L89hLvTDyOUP9r9L1k7wlwnv0Q3CMPw3
nfufkrVj/8V3F7oW4RSOnJ4b/Lcka364v0nWxsKIc10b1uPfuW4ucg9CdSsO2HbVruO7p6e8yJ27
VzQ4azXzZ7Gam2p4BEYRAlOX1h3n+HRqvTn9VUWi37E9mVqwHVXEZr1AwVuZlmoutBWr31WmIto3
3bFALB57vSFS43yYMgreVZU1T4HE0bkOiOGYK4fpPaUKN0kMBFs05n1Wt1hHLBAaBLNqDtAlZcMe
FaO255wauDK7Mc7rw1zn3e/AHyIMCaqlzE4O5sfE4HPQTt67Nzp3i2YjJgesYjpnLfkbKgHWBWHb
aCfGSi6k1qLx110FLuvEnch/DoqIEwrMOXkcKYg4zPmI5YXIJYSDvKRFmEJKaxrXcQbtISoGkDte
In/X2cylPBLwLzaOW4PAV9xmxDqSbcClNiWRwWG7/5V5xniKMkUtIaWmr1XSuWsdpvYXRZ8mScxa
s00tkgcgaxKiuAbXzRDgOs4rOjEoYtj6LHujQ4Bw8mcqPRhfIqbc1EL1xsJaqw73dSd+mWQskj1m
hdze5bbfdytFtfe5ghb0p2D62GbkiDdeKV2CPYOimS00DP3Llo35ldg+d5dyUEsRbR7Nb8rNkteq
tvhXlJTIJ3789Kkeev2N66Jlr1NCIUcYlKBmM7IGOG6ot2qYi4/cAcnSgQUyX8OOI/Uq8vUkt+hG
7dcpFv5zZg16X6ku34RmTz5n1uN5hLjzyEWYYjLycGlthGMZbzR5t5esEJzI25p4hI8cuVWDx1Ay
NSY2GsgxSM8sA7/BnECwYuaH24TRbG11TvyeqHh88Xr8HTBF2thiRW6EeMe78FpWNXC9QPeIK14h
YQGRXou8mw+sn7un1vG6RU8bMY1ARlmlfkMubpgXuLHC7+5uOTcblNe6c/Dh1iMFHrFgiFj3KvOq
va9tgH8Gpm0MrF5dfZ8LXZ4JaTQHnBWI8fYwMnc1to1h0B9yNRzYy1Rwv5woJjdmJq4PiqPju224
lFBNA4EH5Aq/T2rtI0c1GMCc+E+akRs+QR0kecZN8DajqOFlypzEv+qa2W9dddw5DxWBuldKQ7BQ
UqGYLUHS7iOnf3YEj5X27xRpoJ5a+dj15G+TYjgIFefGAUxgcrOMtJTbvusiSnhjwhRZOY4/IuJz
X6gc9o49tmsSuimH7mKOLrMUWBdtU29Yc8Uk3yqseomkq300RbCnRocR3QnwSwBg34Q14YZiSf9n
vfsrNTlzKP0QI80c+JT8bRmN5S0N9XSFEskkPUw/+GHwy0/Uov02Yuuz1ps8dpXS0qiHBR3C6qYo
+J5yK384hQ2LwSYyydDcX0unF9+TwG73pfK+Dd1AZLuGgV+rAW42wNY1zqh8BcYL92rTaTRsHEwq
DeqVhTEMP4ccd7nhnirD4LLpElGXAuei9sj3ulZ5RyJaeoGGb9KpgbqJyt2VaUUAx4YXYlfuGfTq
FY7wIRSyJKqBN49mYwBN3ig/aKlUFyHrvVjeo0HD/nBgZF53pDgj0tSrIRybi5IAoJ3aUBs5+w/H
yRY3YXu302Y+04oL76LwCJ+EkL4ITrFsbyzJDsj2kYVb+DPK1+O+Eg3+9NqjiYUT4nl0YmtTz5Zz
LG3lktSYWAomyvvTNfNrzYi/kcN46Rv3jjTKnOee5qW/yyfLiJXqMaTdxSnILxX9x5jRAtnS49FN
LPWn8CmYgjPQfgIedvW1jsRvKo9vPlVJCOuC8IF1YEA9/U/mzmNHcmZNsq8ymHWzQS0WvQmtM1KL
DZGlSKemO/XTz/HqC/S9GPSiN4PZJLL+v0RmBsOFfWbHhjh9GSKD1cEFXpR9gHbZxR55GApJEdBE
9GGn9nUIq3YLTOahC6dHC0BWPTcHjd1gjteM4iBtZ0vyIdqowoz2FQaCzITh0LK4hgQP+uCpbaMP
ZCYssPFXTnwp5e3IDEe+ce++utG0xfqr3+7wu07BSD8MUd8qxxEsNtJ6iv23hhhlP4V7oRNQ9L3R
uuz/svKrIDfnecQwm747KX6w1K9sKjBvXgC7SI2IawNiI0/J2asXJN6KZGWaH/Ca4RtPo6/t4kZH
vnMy5ZAGDOIxJYNZJL+0OWd+/piqWzlj+UpgGNnrftwXSfuQR+FHm7MKu/WXHeuewZZ6HDk16okt
+rGW1ZMc2wNySonnldRlOYIaKgJ5rtseWk6annuLm0RMHTdngf5PmaG9wzyaPIzI9LQ1UkxrtHu6
eu0UbzANU2igbIx+w/dXLsOy78tg4Lxd64pfvZsDz6c33iqQ0iTx1G40Nk5Ld0jlIZqPjAC2GOxQ
zpmhXUU0Fz/91ATSRb8KpmICGnFLVMNzETXisUg2wk/qY2Aav1h3hgNo2gniJbRIXr0fFX2vNDQQ
POCwjJA1Ns2HysjsrXqXvAigKNV/2505Xxm9GNc+SJNrpLw8xQ9qZV8Kg+APPExUloZjsOcqhnqs
4klPtdr3IbIhUxpOPDBO6quPuk6DbeA0lKyORf+M261CM+yG5eTgh09hrFnJ2bcGRQepG2ZfmXBN
+ukjqWvnuuK9QnBhrrFkfAOhN8tdTlUF4C9bkbIXWPZKSBpQPrGBIQAdAiWnci3TnAhs7rc/+6b1
klXAuOYjQzWrjo5pSV9vGQvAPKZRdAWlWP0RSYbxN3Cs+kfhOf5L5/awm3rOfuiXg1TvVu02H147
jtGKkt78Fx0eJQbLLJBPbZG6ciXH2fhYogTNcdLbmUX076gyUGxPi+104jElRg9/rJkad01PjDkC
+iY5Tl1OXT8lVhrOr1lpzvTOmrNyHpq2kVcKur1Pp8gKl3Bcjt0GItA1rXP1OaVJ+gfOSnMN46h+
gvOZQ7JGRk1si2WcLr1wn7UxhNYi4SGLZwujQFIF8Akqs8fTkEVBDwPLlmpN/qiFtBbAi0XzB5ky
RYLASdM6tO/wdcmV2zWWAM/bN3sBfG/HJZV/k9nemw3K6GA2TooIaOTHqgv834ybwj8AOyxIUguQ
0Cx0GKhFNbJJZ2bja4mwl6xrgvREP23w/LIfvHHfAze++Ilp4+vDpBFuVDVx1okbr2YSN4XYnc2S
RPnSdQ720TExHx3l2+9hNsYcJVDvUTvwQtxFlxVfiLKu2gyut+wbvwWo14a8OaqlN/9EeYgmL3Js
Vs1oHSF6pYe2SuN93vfz19yk3lOUSIqyeZb8o0OY+EMkQ0b0u0rmhybxlyOlkN6ip4j5nYmtx7Ci
owetNqonRwiJk1tkLP3M/kEGO4N4moMRVpRrxMZva0pqFLjQMkiRTaFFeSMD7QepMyqdOzSfSAAt
BAwm11c4Re65T3vMyG4xVA+VUPajmi2AVLadDM++NyfPblmET2M4I6Y2vsWLagl1h1A6HYwiRGs1
UiBCyYLnZjNzhDvXsLgezcoUewTA5UIfUvphdTyFMIfs/gsAm8OVpU8vJF/8n5bo4OlN+IN+D3mW
0ducR4+wRNRPQDLN3e+YBhgWs/x1vkjF/pJb+8mah2vie+I5qulbm+1FvlIOE3yVi5PN67ov4Aq5
gneNN5bJbxhI6UMZGwAUeiqY1mVhhYwYx5pnsKP1vQOL/zm4MwvJ0IbPhusMJnPmOPksm9nlDdsQ
w6bYzfgyylYMq9ro61sTZf4+DZvgQXktrQaUF22K0AMpLIBX3IJEzT+QsQFJh55TkgtZPOKLgwy7
l2geEZszxal6Q1dFaK/4Oc+POHzCXTB749vi+v4uaKvyGxdWxDFnKiYAcMv45jlV8BTLrpJsKo5G
dtkjCdNEM8BFLB+FdHwieMrmeE6GBpiHXU80AjY9oLkT8dq+3vcdRMbjMEcJwCgjnKjrnuPgJSda
/gyuKOpowak44TBuweYYBBzA0mGQxDaiuHsWScDSVrsTg8UBG2m6JsGwOOvebkHfxvMoP8dOwBPu
hgjfj+nG00n4tlNvvM5Pj8qqIs3REt03Js/J5mqB2xgPSQtWJuxdrD9eQ+NLyOrkumn7NFqR+0Xv
0/hkO0LxNHnphdly7a4FIwRUYE9VFP95I+WFoHVphew4/T2XeW8n316DD2xjYbBy7yGJo3g3Dh4C
aGEjKOUUOIVIc/RUbQgFd8OV4xrnpGwWlAqOwwLisFJq2S/RiCCe5qH4M9Jm727mBJIe/hf7h2Qq
/HvgjzFYk5qxKt0CBFlO70G9LrKs2QojLa7d0KQX1UXzq9H60qNhiGFJBdpG4WRX5tWpw4Kz6mTZ
Ww75dg9iWsXfEfezJ7My6nTLJQOqieQ2VGynxueYp4hZb2lPHWioW/iGVsvAEBWZgcIw+lajZNdm
Zv3tRG1j37MBEGZup+Rbi7JZO0BGewpe6pFtrJFxylWO40tctum9m4J8W3GMiTezz4CAlK7LP12o
2SMumOA6v7TLome5wuXLIJDVvOmondzKsJ1uNV1CTzkjXlA9wqIS0i4IgAMuGR8YpBaUmUOG+Z5J
2xNY6uNTlMtoV1RU4XHuoTSqgKyZrrkWuW8D8Ue02LhM78qLXWMTG2UwXS3oVi+DMdCI56WOW1GS
ZFHZ10E0PdU8eT/nIuo7dnsreWIXhBricFI9Z9zQtpbbhb/cZWwZcqt+PbWy/kY77C9mzpCVK5gz
v1eZU+ySqkPudmzzo6H/ducJjyZVS1dtztiH8AFToXaNBpxRWcApdALM+eTT0HGO62S+SsdmWItp
QexpdiPBBHCTjDAGcjbOLDgz8Oy3iQoZPXOT3JuC/023ttpOKid3UUbx9xRm1L+nhXB3UW+Or4mq
g8dksdS0yqCBn4vCDYg5T/F9Zj7/KYJ+ucdWVxKkI7KzVmEo70ge4dH3Gwo3Z9vBI6dsMuqB8PZ1
btrvrVxYvRO/mdSqLXvOua0BSGkQBq/dqBNs1hDOuzDvl63HW/2AERI7QATp4ZpbqLAsrgj7S1Id
2G1wX/CQboqZuck6oYXgKMYle/e7vP9NXSZJyqz27zQzuc9sR85uMbz5pVYeNx6/JjyVEOt/aY2G
mDIron3Ejw1Zm2MBrVpWFn4wuKKvKkoEb/kebR5mmVneKnZTrNipfx+4TMlVG4azWDm+mV890qvc
JFLnJuxF0x+qLHsAQsqq55mlzjj3wRH01Kw2cZ91MAGr5C3FOPoQQVf56Ztzd+96Yf1pVap2MqKL
bxUMc6UPPxjLjNG13kmfGRgLTJPojNe4/dEtA7l2kqB59PwMXzb0xg0U9ZhUozHhtQitjbO4y9kw
AdHGAucLp5fau4ZlNN2wcQ3OikElb8iqsiOAG13xHNNP/tKlPYn/uW9sBeOLsS2gT0I1jj1d69qw
yBkWI2huXsEc4pI7ZPfatf8EgUS6D9SSEDrx2uVAjU3wlveuJAyZh9VTMbnjm8/22FHB1wa45q3K
+yKxMa//bYHNlXi2XVCOtaSbAVNptMl7nVejR5R7r6jUayuBZULfWAJ7/f9WA/8XF/b/H7ZrB2Mz
4vJ/32f+8l2K4n/dvn/1/yxq/+OP/ZeM7Wnl2WYqosvJ6SX/h/Xa/3fbMoGWIZ2HXvQv1mvn393I
pKWEdiCi0WDU/sl6bQa8iCBu3CDwnMj8n1mv/2/jNSI7NTs2bWu4r23dYvLz+0lUifqP/239m2wd
yrMmX24F4Jh6DG7kgA9O0N5zZrCuZ2xdOz5ZZXcjTnxuUsNbxYjctMm9ggHYFc50xli2/6ef4f0/
+3/+udeVZpJ/FdcDNzTNAJStzY8LgZ+fwb9+WZNhcS8I4CYpG3ARkG6KLegO4AAODz/k9Mso81HV
1mPrZzDlcE7MIUJT6gPNAAYSr0KwfK2Xhasm7OpjDC5useZ7mxTV3o1q7Y/qT+6clcew/GVlpn02
3C64KPAWK+4RxbES1d2mPGOHhoDRNf7EyMO/5IVM1kaDFIdj6zbQ+oeDjrixBJFiFXf7MDsKqaIr
FEvMbAMSK1n7MlfxLQLHNFmOz/s8qvB8WV9tu0QHtxghjJcGJUabiVPAsVt8fsbFKK6q6j5l4HCj
xgdET8D8ZDYCiVUfnEpsoPsZTs9LZdBy4Qo1cEGALRCh1z8FgF7pqTAeIoU2j0MxZWLGErzOTWBL
XUp+eqAptvAtlHePe35JOZJb9t1tiHAn5vItN8FCcUwNXlS0EGlDrj8j+7JUUU/N8HNe06Y8AMWX
dwqd6VD1umWH5uov5mkE6hgmx9FJjWNQncLa/Grm6Oyx5e4SYWuxjF7Jjk0ZI5q6RDHY2VROp6zf
MpuIVtloVAcV2G8DfQt4ODu1Gd0Xjucc8bEtzilaQYt/JIa24+ISsEVgbFvrm8i8tbdCeSoAAmTO
+AO5KCAXlH+ZNo3jTVddDf+3JcqIqbz7FfsRhzKDOYdKw/jk5yB2frnKpjcw/DHZCnhm30Xrru/B
J4+4+nqvX9f4ywj5gmmBWwk5I79baBG7gu3N84PpQq3CUmcJ3DXCRNFDK6jvlXRf0mBF7H9qEmiq
bgtst5O/FhnMr2EwRlv0T/rmXusy4wkU7hdeLkgJBYOlqYD8HyxT9owV/tOd4RI5E5ZdGKRhHz1i
Eup3BarYnlM/JvMsQL22U8JEAibsUnFE78Jw74wd2cW8ylcOVIZ95grYp4nZYdXOUIgt46Gpotcm
8LN9Zw0wuVrUeo2W34nKoT/Qme6G7rD1QPgjwg3nvscCTw1jSrrCVnu3dsUeiOUPo7/zDSTnFgjH
VvnGuVc9SP0hyRgXz9V+cuY1OnuLxRwX8N8Himprsa3zoyPob6lc+RjmabZz1QyXYdSowK54auP8
gOToXlP8EQ9+g709V//5v1hY1b6FkAy4LW2OqV9+ZmlLXMo59SMhzTjS9nx6bCEk34zEpFTHTd8k
JQkoCBFpWo5bRKOQ8kIHC3oVj6gdTk2MbFTxnlK+39SUZFc44g/u5LSntNAwIQqAV1HTK1BrxsiA
PLrJ8A+TvXi70DezwoNww1FzxZcDXdcHo5IlAV+hIT/Is1BPvzivVcrq4JMyPpocOjTYfNrNPImr
zAIA0mbPrUNewhrmepOl/SOXBfXoytynUC57BxdX0StYjmjT3ipdSgxQjC0OEwT5W2egTKjMP+bL
OH8FuK2HCBtNMqhtM6SUY1bEu5g9robJr3fOHDcw0uKzX5x8+Evr3gwQ5AxmTu1U/EFhH3dl/BHl
BCwC8z2sGhLi0U/qC6kMxXWLxw3XbUJF2t4Qwx0R5b2wO64NllmB+m167HpUAbUw9JNleUeeZaaQ
uA9C8i5SgtlO4tLjuvSK5lV/Ps8SLs4UWBfRufLogC+iFYYuejgRrmTOzxcS7Wm9I7qWJDeFQ2Vt
27pTtTfkNnEaon32jjPPc0Oo85iM8GS9akATfQD2oFZmzTzQwfnbUzxymc0rjBds4CVvUSwa3XbB
Ur/NwvGAUI4gWDavbfLoSIuMt02iDsJHaDb1PS9OvVk8WUDRYYJL2l098zMPAqBR+GMPKFTeNe3n
Dz/puQUut9qakK/yLOKo2+c7g+f7iXoaiReBTGgDuHvXvmXILztfTG9e103rUZGg+LvpqZhRDXU6
m7FcwNoyRl5ZmTOt7ZF8hS8lQweYFB1Azl3rdXvaRx4NKBKLRWMSHSftZCMILOMPR1vY4FiCK43W
odXC+DXbB2NS3zVN6Cs1iHGfjC6kxOgBgu+wox8MNNGiqlUaBh+c19+6GCf1MG27xRu2jjmpTTtw
21PNb98cw08HwlgIKzZOaH0HTcYMuYe/TL+Au4qTdO8nOluRgrFsgPPuyi48GyHSiTBAO1WRg2zd
Wywx0IpRCBL71KuWkpbApc1+SetLrj9MmVtdFmeEIkC2MxoHcqMqDC6+h+qxMvWnHRtmZzrzmWLg
8doMzPDIT6OgV7A4ROTNl75vE/DKiTJR3sVwGWipMqkzqgLvxU3jnyPOoaNXpP7N7VoCJmraT76L
XMB7YIQCf8Gp3lwecEQ3ZyQueWZI2/7jg/6lH5Ms30VcKSvQJQt6FOH5YYvcBkldUj/D2B3ofx3X
68zkveGmIQCVtMjCUwh1ed+I/CdnCApiRmicyLxMb1u2otljqwmGrLs1FKSchR/+olBMrT16EuAP
fbbZW2kXF0FLw7WMxu9Is3zSWsDoIjN8nnkUosB5NfsKJGE4nPlLh9WU1zEoMXh+hI4oU6vc6ThM
nk3KyJ4uWfKdTEQBlprLDi6DZh8n3ngrB3ftm0uPvz36Hef96wAx+UyWJjn//Szx+ey/fhlPI90Z
RKE3f39cM/Ga84JNYW9K8YDt1b5M+gPf37JJhq+mBV8x87zcYgKdXGcHej1wkZ/NlCGI5VQ0Ls9D
c+qR5IIoGC4thj4/JX9O/Ym9myaYGlzG+m1XE/sfIie8T9B36Vg+OMmSPLl99maAYz0ZVk7m39o5
aeqepjrS1XjwFn0fs1WNR81ZYlperSiGaqeOJPfS6whMbG16HRp8uU4MO742noopTxuvi0dOym/b
AJ+UQHqwUmhe5i3i3HrN+8C6onok66YzqIKl6gnAqNchlgh7hRxNX6nahgVPN4CXFzsk+V6qFsov
7S0Eu7KDhya9jqdXzw2bw6isnd1S9Dxma+Cj6FA0xRjM1RYm9a0cd0NCn91cPpJ42D6UngtTu6dv
xpQfqgAjzRkTC6TgN/t4xUtVGruoDJkAso5svKGydhbjxSAARZHzrvMUJ07fo9nW7wXraFuq3STH
Z8IL85loBPQ0UdQUYQAsHq1zOLQxx26gBzMBDNanbdu5jz7DoCs/fiS+LmezlNFXaCwZFSNleYLo
RySNg2gIz5aD6MVy9RSZJMp5oox5E6UMB9lre3Q3hEF3iTc+T0U/GNNNDfWCusRhO4t0BW5Uxafe
oVc0YMy7BHmy891Xlu8j46hiS6MWw0E1YwkPZL2Jg19Jn8N4rNp1s7R03rFKZTjbvnj0OF7St4ee
XRy9qtjC1dvXw5g/T7k81FlN4d2whDcvt34tKT+zlG34aSg082x+83LzcQhb+wGS4JFNhL139t66
ZjSJSBvIflla74U5bNJyMslk5UepWrbqMa9PXhSuRv4zNwQBcMaCm0r9zfm2WKue9zTw48tcjPuS
rpQ+8siBc15yUa0lKplues6/ciRh7C4nOVHY4rgr5eNPlxWu2uog5UddzQAzp7p8ifzoNI74CFzZ
lAcef6q7oCEzXKW9AY7JyagR/xLmxCMcXVlP9sauQ/wU1jwfoFQfAflx11gGcep7triUR2bilPY6
NIWzH0POu0EK46CqXePLqfiDLuFapd6UTYuHRd59xaF4m2ZL+bMHacqJ6+TwlT4jF3ukwyzQ9aVq
vqzepnva5g3WGJB4h9B+su34GywxkL4kfsgIODKdYSasqz4m7CdPWRpaqxHSzi+zuSlqlQ5xUiaH
kjnOyuiW6G6NFG5lug0opX1iZXvxfCZ6RKeNTZGMN6Ga1WWZXU1F/ggIJtfDwOuefQEhrQt3jSnk
qQOOdhg4ZNOSGMhHAMNE3XCGcnlD2y6mjZ+I8cYnxOBq+9HDD131tnf5+6uAy+cjDD8yU3F5F+0f
v++GG4t8kuLdhJyR77D0ToRqEoNTjC0uaVWt0PSckzeG8bm1igTbM8oYh1WGHK66yuhA7Cna9HVa
bDCB5DegRmvP50Sa9/xurxrfaOUYkd87c08UhIedWmquwQ+8U5kSiOrPuDCLBYSZslxCNTMMAMGA
LkzeU8sSJ7jkS/UogVzuEw+7UxJ9DK7b3unveTVElGwt32hYzrJgY2Hm4Rhuhdsp9EguSJteojaO
N7yukNpFXD6AwvlFhW9Hn2SP2VnWPOsUb5euec0b68EB1bGVmNuDfAq2yjTIDPS1cwrq+UVXl5wC
oC0cnBwDcnhvnCo8waeAY8aJjgg30xfrMH6gvc5iiYCNvkihXhsCwrm5F4P9OKdzQQAcXn/jJxu3
Zwu081aeTbvRm4A/vti7qnTc7w7GwloGwbZehHwsOkrcYBinHwNLTt94l9TxxveBwdomnDt5Z3EB
WFvZz+zS/kdqEGGBf9lzSjxU4Cp4Slv76Dkh+FHTtK8z/W1xg8l3rBs0mI6nPa4iYu2MTc32qEQx
HMagBG4ovBn0mw+M2UQD5zUKYq8lazr554asA+flazXaG2RO7pwZN48pH8pzwOVkPqIq9HcL4fxe
Mio54mPnNKprOAhr7jnP6l4S/9Es3Xjdu7SNEQ9/JEvMjuA2p7gayo1f5vUWWRWMFTUQcRR+oi5y
pxbxtGsce8HMYoE3If+Cic+mnaKaCMEY4QnEXntHRqELE+cWMQnOPoxnYBu1D6rVA4VRLCej6Vdo
QsFxcJTaA5LXKCzuW9nENUEkXDdrDup6u4lmwiB9ts18+v4U5t9dVE2PHdAtzId+epYYokjpuycP
bD8mZ9M/deM3Ta5wmyNsingbDnkeENihQubUSO83objxbECeE4O8YAnHwWF68LW9wWLTbt27ExXJ
gVfFOXJ9AOBeWesoK94w8s37Luh/sFMuZB84/NeUaTay+FHiEDvaRYU+NIXfcST7Exmfcz/k3q4V
wfxg1nDm6Hl0D3XzqaHtZG9LcbB8AWalBU0+gQvfLFb4art4OMZ6bB682G8eSNPam6zkzGyyojdp
3B1lJSi0cEsUIbIWt3kCm4qXc3wqMlKfjZ14d1MDZiStlNUwOJewQm1iUaH6S5oGPRx4OpnVHjFp
D18miQTRd8yZkD7w8Iyg/BLVrsM8fAR0xG5lhvBIaoxHAszQLi+qlXKW+qZc8ZTrYBSSXUMsnwBH
2trVS1UQ16EknqtTeb5R5N2++HUGSLsZt+VEdVyPyXuH+wDILQeCyYrse2nxPdTR8ClCke2lOe4r
kM9sVkZDpTrq/6U2lX3IXd/ZpIE5wAHkhjkurfPtlekLxWg/FrAmOMZrjAYuWLAZZDONW7sxJwtT
km/dDGgLuymJeTFrD5k/9ak4hGBKRpHgAvrIj2DOv0npEwmMAVRWxtaj0PPgRhyeMzmHt1oESDxh
/w7ey86m8oPyl3briOGn0UpzN3FnurcMZzZADKaXxpAJACg3+aQG5yetA/1L06kPjBQvPoejD1rS
1MYFSXrMW/GjaYOSVdpJbnFlMpbJp+E2Eb7LdRkmA3B5pdenPgiKMiWFmYrmzFJXaAouW4eI4bwE
X8FPlae3F/m5lFg4dQVn3+CPcKCm3TDbFI/CNDb2YmLJN5bkaKu62E3CqR6yv9WewZc566pPXfoZ
0/5pCzjGtU8hqAAZwXmTmJYNi21Ferjaz8XBaWX8BAwBbXsGx5diiaRqtGq959DNKB81InwOeYX5
qxvBHAdvswIZ4Yqe0lKIMqGuMWVKUe1GA3snGcffky47XWg9jWg/TXUNqmbvFUZcXYSa3Q0U0p9m
3s1Pvbel3CetauMNrcxZKx+JM5Tqt+WCrKtSNRy9chKbwU+CXe/izi3y7Gfpq4Fj0PAmCWxc4hB4
riEg25l2ysOAd3i3+E5w6xJiUdS7tZi+yp4bkR1SDQtlLFlbui5WEJBYWbajHmuCso8BrbKtACAl
GLaH7xGds7Mun5UBw7KyZ/22rGNPP21IFokxMCwHNjne0rTlxjYCnGwOZuuPD7P+gFul3+XIPVw/
thGiISNWlR0Lv3stOveX7E0Kc/njrq7QlYlpHEhps48TEo3Y70tBv0rjFefZtTBe08U7eOpkQK+1
iYjDAIwbyjSYAhebQvf4Nv6qdVgIZfBSR2G2h0jqD/UlNt8M3QLc5/aW2sN5VVEQbBm0HyzlZsi3
PlTFQfcI4yZKuZTRLVzolmET7bEmINZQP9wBB1xjjWenpJm4Qnh0SMRlVBb7WZqtIG9wFAySlZop
1ZgoOK4pOnZ14/GCSRzGgNpalCFPuhUZTepbTQ+eIXABAaSFB+BjlqRJGeHLXLsWM1B1mBoPESW/
Rx7KbVI7VE6Om3EK34FTp+smZdRKlfh21M3NyqPDebTBTtHpTB1jTMXzUppnO3C/Z6qfRYtPzKMM
2qQU2hMDFd66J7rmGnAkaAO8YmrabecZF5pt/3Bsmclo7RkEyW1G8XRNAbWyi7ciDQ5m3r55/run
e6pD3VgtGPVvmJkzG6XO2jAp18kDB/huiYawFMDysA2AZSzXRc7NpAgqmrHNnAbrBN1Hpt21I7zI
i8+aJwMX6maYb20j4e9Ty72tdF3KFHChzL87ltNVMU902FgEtjqe3Sdyq7vMjK9u80XJeUrL8jJt
DLguTlB55yIZ98zgK/zMaJZ4PrapV0OFh49HUXipG8OhZiQhilhcBsZhq1R4YUSyHsSDr9vGQRWy
FNw83UIe4S/bWPEmo57cMZmGGkiy2z7gPpBUvHpEwBj76GZzdO00noED9bquPlnVDS0RhkUbeuE9
2Mo6MfA8VF4C98clvTU4NKiHOeDXiJ3NY9q5tnTPehGPFy73Or7rgfkaOL4IIhF1DR81tBmDKAto
CZfKEzvPGwIL2IOpZPHxxd7DsQZnlEGvSp+o91TbDrA9MJbQWHfLlx9O4RZrwOj8YEqxAgAEjuuX
rOjsGec/bRYePDuDwT2Wxfnvh6ozzOPMEQjVw7jUKaoyHkRqDNonz5Peke+QcJ8g6zhWMFE7hXBN
231bdx95mfzCDYWfD3+8I4zuFJnDyXVLeUHzfHaw/xO2+/DpyeE84azgBgcPljB/UJGyHOKse88z
P3jUn2QYGz6l/Vo1BdSJgBJGAJq/hSyxZ2JL2HDvRa6IXHdfIVIy55pdiDedfS2t7ErRQrUZUgDQ
7Wh/S+4lG8sayq05Ju0rFqpzvjQWmsHQHJ1FfhXQNlcUD6m1nbvmyior/5p0+MS8rNpFGhYW/eWG
YW2ZNkLDxAqNFYs91n9EZqSAOElOJfSxUQPJGg0kQ8UDeqc/dM2e4f8HCPPu7GuM2aCBZtFftBmM
sy7FJLE4ZXSyK4xEYNDm0bwXVYr6L/Gk15VPtco90ui0VkPUiG3QpVmI/I+tEWsVY3prcuQV3Fmy
TSxrOjJPfzRHUz0LYDrr5q1aLPOX66zpj8YwtfRkSBnwbhIxVAdoQSzIuJIupPkPxmABofg9ai7F
lHXkBKJozf7qbUaLY4yEob2e0iC4xSAShKkZF8AuDCPKb6o/A7CXWzih8Z70KWuVZmTgsJxvoeZm
ENEADwFKIx1hapiaroGgHmvaRhFsLb4Vg4VzHYHjyDWXg1KGg6lJHdyp61Oj6R1MD41LqYkeBWiP
UDM+YGlnG9SO8hX9cibXWM18Dt6FnymAkAF5kD4nxCPeTkYGRMSBJlKYDv7aBfXKmClaEzWgJty/
8aYxIlIRZv2Cq7ZbT0NuXciAEP70x4tf+fbnaHcfQ2jm+GKV2PvFQDJeA08kvuddbEPkwtNIoEgs
0Q42/biRhC7xcTkXCUEiECw0/NYns9dgFQgrgViM6wfO1C1B+OVmY+Ra95K/gb3efQltjnQa1+Jr
cAsE0pe8LD88CxbUouEuuca8YNhZFRr8wpmkPNvThAVVY2Eq+DCJBsX4f5kxUwY+xmRhX40Z9IKs
hC3DbtTnjrNyuME8RqNpMQkpoO/WHSWFlCXcaSl+FhlJg4UnBr3GvBAIT06uxtpkGnAjNeqGhoZD
bAK/GTUGJ2vcjwEujqUBOYVG5ZCrRT4FnoMexDw8A6iTQdZJNWJHSsxyGrqTa/yOATJ1Y+j68kbD
eazZgY8lpwpYeCZXS+PCFqlL+yGD6xNrwE+vUT8S5s/YAv+JoADZOlkMJN1sPHFIauPea2DQqNFB
roYIJbMTwfSawyN+gbWbjE/hIiFUa/iQ1BgiJOVdocFEgUYUwfIYHnMYLnjh1c7TICNBjnTSaCNf
Q47wHQ3XitwroRQEm4qdJ9JvE4SLad3/BSVNIJMaDU8ii/UCy5UzTElEXqbnWMEEWlWS3sEi69ln
S85SnfpiCZp2oUY0KQ1rMmg13VE5u581yMnUSKdWw53ousZJp4FPpUY/GfoLRnGlZcThvpwWQUBr
DhXwHbdtNfvbheQRr6fKb1BY74VZWND8O2BThFx2jYR/w0SO8jyTQr0hVe92Z9m/ETw5O5ZiGzVm
gN5Vlty2eneDNa3+cjTpSiOvFg2/CjQGK4GHxZtmPnY6i+9rWFaGx3Jy8+GdBg9na85Iu4nZoHR6
ar4XuOJcDd6KIXANGsVVenJv/6VzEXRgN2TcVGl0F8MUzj7AvBZbCFj/GCyJtz2pCCFkGwLZpezF
M9eLUeBT41SIw3a+SE0KU72UB5nA/jdT71QOANm5/cBiCeJTY0ZMwBabepD5m6E6cqCGkqHccMkx
5zV9C2LFXI9T55g9E+fzDyVUMxDuE645djFeyZ1yF2tLitrb1KaoPpm+Tw6U8eEh1rA0lPjXSOPT
qHXYW/DUOPg3e0cj1iDgVtsO6lqg8Wuze81QhTWSDTZbbLX9ptfqQLrY2SE3K/pxGUU5NR0SDcmm
cw/njXxWTGs7vD6NgHM0DM6DCmdpPFz1f6g7jyXJkSzL/srI7JGioAosphcGGCfO6QbiHh4Ozjm+
vg+ichHhWR0hJTKbrkVlkYw0MxDVp+/de+4CiishxmUO6DgqbS4TMDndYTyQMUgAiVcfzTQInrvM
XrEv6Q9xkOuXbmYQmVYyePYbOuydRWMrg2JWtzHrsSEXwhhxQe0cM1mDOUYcynouqe+roesuiAFN
8HXOphuJsyKQgHjYKak2Q8zdN4h620czWgC1Sa+Nqa6f0vSpzudDTCLHrUaVl1D+HRI/0Ddmzm5Q
Q55zTcmAJAY8gdbNKXbhbPH4BBn4a52mpqN0sAKa7BJH/o78Yg2thx/AxCkfaYZBSFrAgRPnwUMW
VDf1AhW0F7xgsYAGtQU5iM7f3KhQCAd+1Y70DN/LFkThMhBd+ZORnJSBkoj+1D1O7YCRnLxi08Ym
0WfNk1SInlqn+SCuxmD61i1YRJMJtA0msZoBJjIapXM2nEMqApdIlOJUQFfsKzCLIeSBcgEvTguC
kXdQBiAZe9iM2gJprBdcI8LZralhA2h06SH+oUOXG9St9XKELuBfkLYnBG6aoRZsn+UChQSKHNbH
jA6ivUAjFQd8pBYCkkSFvx0XtKTDMG7VZMF4QIm9iTr1SRvzeOf7SuH1HToh4mO0FRG/8YpijpHp
ArG0xF1fdhP4gfsiCrJ1YrGl+KhKdgadJ1wyAiOOVsZcPiwj6YLK1J6CBZxpN/mlCKkXu5EUwEYv
OLgS5OZWDbFaVabfTmUs9qnutG7Bg+NCWnqJZ5Rekz5UbibBvDcWNoUedspab+HmUeHdKv2SegoC
w7SDK5ShS2Bj6w7xuMkTUe8HNEouLugLUH9tP2LLRFdgXCz6/sRJc45DZvzaKY7cQ5fVr6LCIttN
ke1GZZp7tta62doetI/J1a0iutT1PK3/ICpbJGP/0prtP/7f/5UGjQZHqIx2dIR4KkDGXyVluda1
HepcQA1++qpTYKS6gu6gyE8OZEj0XneVWj4PQw4X2+cpMW7mSXkrU8h8giX9BGjZJTzzFpW+O1IU
rYYyfLdnY2d08rIoPqQfc17Os0+Odig7EPT//hcgFPzHD7CEsA2H0sMQ4gsjFUqehhdZade8mdcK
U0LfBy0fkX49CmBfanwzmk3yBy2eqjr/5mPx96PDE3yu6XyR4k3N3GvDbHSs+v6jkaOZUceeGBNc
oPvOsZqtOXQvStj4p5TAm1UClAgQlBY8oM/OMloPVn+uI+26a9v8mYDbe9rtq0hxrM0IPNDtlXM2
BATaJvO1zHVg7fHQrvvjoEEr6xqUOx2nEvR0AfoPtDcc8nFXK7npZRrnQpQMca9MG8aFaQPfYYik
jkUQhZ9DnejSYf1WZAnpvJF9RsRP6p2xGwL/gNYBNRh7e1isdb2/bhAXFuobipjDKJAMh3p+l5ko
wfP6OdTtQ89hIyW0HOJml2U7R5X3ROV8NkPwYYzmJa6TYlVrb1ZcXEe1eZ34/Y1pFg9ar30Hon9V
NtZ9E8yPZqbgysj2MfaiVeUo9/PkH0UAgdxoKHea+EwQ1LYMBDwy/7rEtp6N8UNwM+QDQrv6DufO
tZWi8hqSVzBCAZ6WDWPNG4m7dd83YlMmqUHMYlV55WgD0E8sbedEerfBjGeswGsATeqi6TlKQgRE
sXDVnH6djpxqjZRm6SngnLBjRVkrSBKOeQJTDlHSjyd5UfACSv5b4YmE92fc8pf/+l/3DBaL7FfY
8q9/4r/O0be6aIrP9rd/1/Z/EcZZOhZv9f+sJz69JU349jF8/17+LCiGwbz8ub9ZzsZf6GUdFgAL
p5llWmhn/xYUa38JARdDsNbZOlpjVoi8qNsQJa8Ky9l0EPpKJLWIh/nHNTgU+L9gOVsqGltGc5rU
DGAe/wkYQwcK/dMqZTm640hVSlZaS7NBRC///0+CYtypfoi+xfCsITs4WbPFi5Oegqx+bREbrAwp
vMSipRHX3dYH10TJIR5DGmynoumf9SF+6cr6YrEBbFGfgF9oosptCcumYpIuPyUijmF6UbH78CaG
AIZw7rCXmDfCSZ4HhFBOPx2QVdNV7JYIpFJBKBVf/XRb/n6Af5Yo/yqb/vErbV1XTcG6SByW8eVX
AuoP6WAWNJ2XSFeTpqz/mdfltbDkv2T1v7wqv/sk7rNKAaI6rMzsWl+XX8FXoG2RGSgmJlcVT6Op
XU0tcq9a/mGHNBat9887pGVYkh4Sf9FN/rJwVX6+dXS5hkzhhEdDLmByFrc14I55n9H4aSeYrrWj
7v0e63Rqkeo81KB08JLQodf1exkQv4Ppq93NXcksUL7wN92DEzx3CZFIsLJvrdk5BMpAiol8oy8s
C4HYsBB4RvKQpkcTf4NcfJoMOpXaaHVejjBrlelds0e41rhtn4xrQ0SDRyvwzernl6qKXjFBUEIn
wvzDZVeX3fTLxbAdU5iLBcAy1a/CeN+UCDR1hUQgdDlhTKUQVEdLIZGVAIeyQAxQPJeZ9abYvauF
NKcin7Zfn32kSvj99w+bJv7xXaSq6prOwNbQbFv9ItIH8DuiWjDDdUqLa2XrKey4sgZ0gccD4Gn6
LV1UR0mxbcg+I8qk2NBzM1ydlt0qc7QbvavvYgYeo1lRgcu3OQ5eM3oac2re/odfVULl0XkhgAJh
T2BR+fUZymP6oUk7huvQ8F+SAJqcFMN96Fj08OiLlm1036DSAF+4m5mgMuB8VEBv4jTHPMW8sabP
1KszWZkqB1DGRqFl3Q8leZ2//6L/uL98UepAAEN4ckHby6Xs+XmdCippRZFUUDukDOip7HW9fsfm
dzWA0Gr8Bicm+IAunj8tLfggGuaVc8TdRPpN1wR/+DZfa9MvX8ZeHoCfvoywSmYuMkUTQVkw0qFP
iGQUPoQ+W9s2f/y4H7Xuzw/38nmUksIwuFdSE18eKKmTGDKnkkwpUhlXXVBiem1rr8sGngvjTg2g
39hTxvmkUIgYxlFxSLIiO8c0lNYBPewVidHPjIXdADRxFjf3c0Q3QAstguR8ZwQ6Ed2QmPRqz8H3
FkmQopMpVdlEnwb1ktFj3pWAJ9y610g0hNvK40y8YnfEqkJqVW5y4Cl81Nm2z+ABc3DpNM2utWFX
gu4h3ddXbiM6T9wiOnYE9Vz//ulYVrp/XB9NWBbbmCoNtsRf7seki7QpWu7HPBsQJQKqpxcjjTe/
/5Qfa8ivHyPZxNksbYNP0c0vuwi4TKbiPu+1vngM7RFRU9U/Iu5r3Nmh/ZoU06GEGR2Pwx25Avu2
m271SXvxbdg1feO/1r4NEKL54GC5ykWyy6f6OKbt01ikfzgHmF/XIGn9+l2/nD6E78hAK+mU+zO6
aaJxmkQiKo2zZ44hgre8R8ZWwqEJOQsQModjZ0yjzAvIB3KLYVYuFvyY9ThW+i6ZC2dLqjqtBm1I
kDXaPv2aicGN2UEuJe/msRuMwi2rFoRjemJqfGUscvuy7ZkFx+Er1KbZs0QP42iGgQ1cWsOXw4yx
he2MwVlny1KBhQLAehpbuphhuUwZA2VdZkGwn8zuUZtty5vHsP/MlrEiwwVYKcwTjrlVzJskTB9/
f7d/LRkkpRp1kWlQH7GPcwb98o6HhdNWaDsdz5+sk1O1bslttmuUwEyQfv9R6j/Xkx9FidSXTA/V
VL/s5GBZq245+Xu9NqNzGpfEnr7tdxlN6pdwQCZp4AmvUH+R9eAmXQRWuye3s7WDZo2b7UTmVuc5
s0ogaxxegyX8w6P/zxeMczh+OADTDm/Y1ypxsgCXNU7ie7jwQV+2O6e6ruNvv78M/+79soXD+ib5
DFVbsk1+XlZrgpO7HhL8OoaAEcR+6dp5iy0e+Knno5RH41Z4UwMeTZJxxlCgP6eV+RAP040J2Qc7
tuFKIydmfs6AmuMXx61rBHRV/RDAJmnotc+E9fffWqV+/7L4SButIbsnz4lGyMqv3xohDlsrscUe
Etkj1f4eFg+2ry5cU1e70llOuXZarUwDhH8+eBjiV/T9/rAlfT32o0Kj9kF8L5nESCYNv36L3iYK
D/0z/blSPsLSoNh4tpvXzClQ0Wu3PTOkCCjCH377v/tUi+PNknfD5mR+uWNONglDJqbjOZW/zTRF
XVFSGvu8NAevtRz8xv4zDXR0cs6uCo23OLLekIsACpbpLlSK4rJos+vYBJ0enLi9S9v4D1/S+MdS
aC8tQYcymftg86b9emlGiNOF0LATwD8gcr3eQpjd+DEW+3mgR1/DODnaXYnFxwTtMFuvTVEzirX8
l7pCTxpbxq029J9xGG4Q+G6CnkmHkkTXg5VsSVR5qnL4OmXxrZ6IYzOVZL4i8GHbIjqDnDVtI3u4
7zv1eho7mrhm833KxH03GS9qg6B7yjd9zZwN3hNAPtvtdShBv79L8t9cAHwieFodkzfL+VobkyRI
drcaSq/paYNkJtqh3LPAkrgBp7IwocGTMrFdN2Z4ng2MHrpo8m0bNLcIRm+LGtkCcO9xHWF8GLX6
ZLdSrBBHPssKAWbmNOSNoTsJmhZJ7cQiXw3Bph6Y7EtSd2ncDgyukM7EYnizAvuu150XVYvOaqB7
+JT2ilN+l0qbulkMbhaw3dzNH2Hclx7Qi0vdIf0ZCfcS2RVQFPwkxPmmCfbMynzrW4Cpuh6s4nzY
tq11LpRkW5navI7CXlmq53Rl5Lq2xgy2rsyIrriucC6dWFPVxCIlwlJWikCRYJbfgLBfFemznLGv
tN//cBO+rhJg2kHRAuFRVaEjsP/1Iews+jay0inh0CrPOxMFcgG9ERvc38Xp/+9uzf+mPgztFLbM
/7kPc377CKe3/3Ndv318b8JfWjH/+qN/e7u1v+i0cGpWhcZBXNrU0X+3Yoy/BGhUKmybM8bPiFLN
+su2JHlXku0PPe3SQPm7E6Op0EstjT2RLvWPDs5/0okBabosRD/Xl3jsLPCpGssVRSxY4F+fkUhl
0At7udlYY1odJr8OGJ6MCcNdK7yV4XBFhTAnCUI2s7xWDXO4sYCRHkKNqspS97qPfrkvxRZD+nRw
MEo2ClMr3BTblL3LJazA8NpOTp4x5eWJ2V3JsAoWJAIDOI91Ko41VPJN3ZNtmxqdsziLUi9vmxjq
uEKS75LjIBtzZclIXg8JEL6u6N4d2wJhR06LFj2m6fNMh+c2wTAKCiNttsmcF3itM/PEySE9hQxs
eP3Se8JE976fo5odGxvdjsMkqGLOA5YCwjhBvtdZbpJaCrPPVUE6rSM0P3ewZwB6qfUmVOzk1fwm
nJa8wLCLn87Yo/IXR8mOlRFbZ4yNtPrV1FucyX64a5oRGbcpv2nzW6IY44ZMvQFp7A7yWe2mtHJX
6j7A+n/smvQt9zWo0H7yOTcFQS02KnNqiyGfHmU5nisDe4syVh3B8up1SS79EOleMGmPCgsYZPWd
cMzNFOTAOsFSXhctumxz2iUFA0EEBYcaNM9qxsPVmNO2yuMTPA8a4/6ARVuNcxfTAymlZ7Op1dtx
yT1J+rFzfRPZBiD5xwbS5MbAcGIHIZm+KjgwYwwTIIeW9DpmsThz/UvYOD5C5UFsYTgzR4u66zDq
gg04uGurpn/O+O5zHBn3552PJRR/iTeX2SbWEdsCB3zWs/I5sJew4AIdWPGeByRawXvB9o0UsZla
jPTLOEhKcF5NXSJlnnclE+p3LssVG47xoLbBB8AQfxehx2n1rjgqQYkFup3KlZ4a0SVTtHoVtQF8
r+Uh1OT8lNNhQ+ZSNveqlROmOJYHqGRPumrZd1bl3zAtvpGgD45Kp2CZtIhX6CI/v+pTeG46ca0Z
XFmvCHXJjkpwTZPfESCsH4wyr3bYYrx4STjJuX6XoFIzDw7JAW22itmuO5RWhCHGqaZ1ZTDGi1A0
XZK+uyty7FuDrr5Uhh1eBzGCFV9zCCOyUuY74L4GVbehpQRPwnOEnRwmK2HywnbgwiRutmFv7cYp
nB8mKU9FRD/OxIV5sWdJeFikn5gPBUxGMn0dNpO2q3F2IXsqhcuBs74qzZ5+KoS9ZixPSre2G7M+
IADXyHmZu50VK5vKcrJzm6tyHw/m2Ten6K6za5oFprqtpC42ejKrZwQxrh1BOK6iFtPG+MYY3d+Z
IzyuiBH9yeCSrgS+pFqrk72qg8HTEEDVszKs8cUzjwn4inlu7XQ1R3quTeBlYJ64A5GEXl0bGH77
wDnaRSrwipQDZQbgFT061akJZjVW841Jzs8FpxBxNiWC2XLEFV1Tm3dFkjMaE/3FlCZYAlkcmWVF
u7gHndQbXQRgJ0XIFDT7viUdRcn6TaQiY7RoUrgi1xWvTQmwMoB1XRDUMQ5XEwazAZlLan5O5u4b
bBrS1n2kH0VTP2mE2+pyuOJhyPPkJNJqx/hFOyTVe6rl8aaMT3E46gv4S9shxYMaNUgffQtmK4MY
9gzKarqvUUCdZvI+eC2ca1QDhGPUZg0aFNMeWQRXXNKTUaBkDmPVVQFRwRH2LW+a8PPby7LTWbsQ
xCeaVGSYVtKflGK88RnH4r+CLJ9a60LVbnp2Ax1xfz8UlznUSGeW4VmVGn9HZL2rYbCfTR+BcaRa
zKXZCZyE1TQewEUV5NDUha6dEhHjTBqk3EJXC88AA12jka/IL43rgRPgdZjqd2RRRHsUDfoO292t
3Q7NWVR4DMMymzzZTfIC/hHl2GRe1TW6qBihb2KoRyEq7fjjP/34t6YMjGqV2s3nFGTaLk4IrCjr
+Kqh0xDUun2uLYCIpqYOj351i5zKwZpUYuBEGb3DMXvWgtC5o2RyUZ4vuXtPFUg9RCFRRLOSNhfk
IdXrll1LxTiP2tAiOdUeghOpIy6C2xl+A75bHFy6I6N9HIVik4mZ86SPlRgMdcuA35H466cTWdYA
WBc0iORBc0ddyzdQAy76qK21uvgezQ1M2z7hU/CaGZwhaqMSbpzX7UZIAsjMtDpOSe7aBFWweLI2
G0V+KChH2AdgpvlCMGZnSo604o7UCphy9n5qA4gbxrElvAMkl3NA3r2ybhu1cOf+nldIgc6FH61d
4nBLUn6cijmqcNJjpGqKBzKSQ10kWUWCR2LYtoPvh16jTsMmnLRTEDTPSkFYiFPpg6uYT8qUnBK1
uPSqFeyIRr8qmOlAOLLcykzeDbjSbhwbJIxP31I6DvA3T40/PLVJ8iCCt2baZECo5ny6qkOyQ4Ai
XzpCDxh3YBKTPeEGyTXOOp1sZItsoUbBwzl+9mG0spDD0rCBv0mSDU6oZon7G0FQlAZMy3hEfRCi
n7aMK6XvXhOevRU9j5Lip6QLzU6cKCMjfrN6RtKAxpVNLs8o+ZP5VNbJOVA4oITi2A8MKtB0g1ZW
gVjlwtlopXlg0aMz2WLR8wVzAJLp34uWOD2fXCIerCXt0Ja1h1z6cVTE/TSVMFVH5rSqXq2qGeWD
Y8trXA1iVSQz3Etk06BQnHQj4jrG35bdzkYeuo1RXoRaBls0UOoCA4aUV2v3Eadm18mhkTa9+Y7N
zUG3Ar+mVh+C3tiOoOnRzQH3ENnHaPj3RBNOEK8mgn0iE8pFcdFLwFCOaebrXmJazFsMNSJYYtii
cFsEKZDZOg5gH3MMMise36yGihiIl1aRI32UzcShDo2JHa7gS9J7GLCR3PZLjqFw7vNZf40GPJ8/
ju/CvzO0EVNvEMybBVkyhtWdEd4v85WV36SPoY7HtlfxpMXDHhWBJDQNQp4xBevOKAnlI2NqW6bN
E2i1QzJkwA5Brk6VBkZ4iNY652XhDOVG4orEl9WurKiHvB1fd9lIzvVQI2XXbfSIAZhs7UGjXXjm
Xe1pDCC2F4E4TzC6XEvO9302jGtGkS4ctl2ueWT5FMAHKldOugvtnwF9DHLVbE8KPtleFlj5Tekl
vMO4TdRjqYTeQJiBO4uIsAxeWFSr4PkHH8Fn+WKOEES7rCGRqA9q0qenNSh2t7MiQqh9Yszyx+Gd
UD6e0bYJ16qZHKt0BjCkPdt0Woaw8oSqfTgFFj/fAhQSo/pYLkgBLuLQqG+IJKytoL7MUxN8mq8+
6wZRaJwU78yw/bDVFuVplj9C1rgXwzXf/yODkpxidV2roD03itqBMABz4yeADYPpc4qdzi2FjXg3
Bw1YdhVPapcceuY5rqUmKmLncOMElY0NzFNCUqjoPpvJGG9h1gCxnXa1Pa7zEQdY5SBwgoJ+ndXZ
SRoT+UaD5mwVumxU7Kq56nT9MTbTKwPEOuPh9mpMMKCTdsCNHQArK+HOMsInKqSbWeFel28ys49I
fFMKSnyJEI5OIToxbplJ8cYhIQI9ns/PsosJKcmsGzCaL7K2eNNp1q4VNb9YPJWlHWLnF9kSWwX7
U2I3GNNvddjM+GG015GsOFOUmEkxrY0GBYdKP3/VtYG5apCf1GHtnJQePTCdEJAaSmBvhfMcmXAB
dPTbtHut/dSo24guERI+kxKG/ENoPN9H0ku3afEMOMY+pyOjUaTk6zYjmhVJZAPTSu08i02Wl256
YioBsX3JDwT7L1eq+ZkIvfYMTUye7RMJkPXx2pSNACZT4brrazqIblvO1P8M5VbOc+mooP76LN93
cDF2dmgb5zxZGEtjvBkQuG5agbXU6dt9ltLUR44ablPlKozjwQU3ulZB/DK4LYZVGAMmaPrhRmuD
J4IlVjkQHvqkxbeGwmlbVNRwbdffwNonwFJD7ulnMN2F/m6lSNvGnCUhV2vPeTcHp3BNpYo8L85z
fkX64AyYcRvVeWYmzpM1mYZLgstd0i+ml2aMD/VArw0nsWtX9qYL/N5Djp57qY91EDv+epyqd4c8
wCId+nOIrhcbbsYWK3NErRaxYBs9lW9tiDazWU5VQ2NvlFS/VhqRkr2aPqhJrh0dPLp6kePydkuq
tU0Am8XtnCUvmJUJiHX9iCTrNZ8FYCJngHByry/hmaHNAMSWH+SByAe0q/U2nvAFVMV0DGVGo3lS
nEPTafrd2RTjOZbt8GCM7Dm0klbDMI4n7O5PplWYB7z/8yoIym/SsA5VkplPRCU3QwsCtvRZTVD8
rXJgoh7SXg19NHujr36Gc8ccmGVZINVnaCKgFEymRd4DOXqjKbeaj53NaYJvuHFNKmzTB/Zq9l4x
m5hbFlIEsV4QsYmihC190AeApsA64NTOHL0GGF5dqHarKEWJPyHU3hKY6dkdw5mYl5rmbZhtZpNC
ExT2hCMtfpqKHgN3j2tiShq3ilPG/rW56yp8HbzR+RZPwKFF2MKw6wmrTHeXq9+jbBsifzgqFRtb
kxvNraZkzq7Rr9QZH11A/ldmIEP05Zkt2973gQIBKozXbDZrzeq/k5ii7Oiws0HBatgAjiPyE9KH
26cdnCeTdOYy12jeJuZH3vXxKbPUo68QKlHBDp/pnOCUHTd10RUc7YcOm4KyzXKh74gEIA+jHmrX
wHjuyQTbc/wOEtNcd3X33TAihkvozaolMaMe7cZTiP2DDkEpMsSYqNBurnqvHVhKfrxmy7OPGNwb
nZgSuB6rjZU1+6pDUAIG2/TsRV8c0Kt0g3H4rLtioIeCc3EGzuxExWfgZGjlAvuNgkD3KmLK3TGF
9GknSb0qojPiyJVRPfAIRN4cSmz8J2NhkBIv+Rjb/hP24fkOQDi+7FB8r+P20zI7gZ7VttcV0Ulr
VGrqmnfN8cpUansqZpD2YJ0OXZFemrI0AAQccJsTBVdJ0l+l9Z44xVGb4uLclNnWHkd106jywYiU
+Vx3w61hVdkOGy8BnHtYLieTRCePycZJjZ21rUicuMHUHVofW6nQtHJPMIe17kvzkUgz8yl0+jVn
2wdQAOlLcOkAsMMXl4+ovu0tvkH+ZKqtRV9CdIiNzzwnf2JqDPXUG+ljb9fJtZ9GVxLZEWVAUWA8
E58a7nCSzZsYPfxgI2FPbqzUVM4VInS73kZxiDjYRqUvHMrU+ZTiAzhUpYpqYD5YQneg5/f+dTVV
dyLRN1Mc1DsfuNEqnzkd1B15O3oP4CvT8V4Y1H1GNem7MlfSbboc4htQcysNgdPDWBPElehQmf35
I+uCa9+XypX07U8hRvxFCXVmDP1/WwWJCe9sUAiEw4NI7ZeEj7HoHgWs1cXfzMSx0D8A08d3cynO
RHDwY0ix2zY0IQ5j0z1U4JUBPBrRKhLObRljSarbQX2e9HJHR2HjY4zbqo7sXDUOzbMQ2F1QSXpo
Mb8V8P+YvFTbwOpwxRucOCKL3kNUTJ2nBWAEmpGfWFSO8DD9bax5YqFuRk7SClyTcaFK2AZTV6W6
OCiC3cyukpu8Nx8xtah41h0Tw6h56cZsvOlUuB1VLE+jOdlH2pibQPe1rQIJcgvgdm10enyOInGS
ZICf1VS/QcJzMaIZwTMsILAw61R/bAzDPnLKclZWP3J0QOiMR1fFu46Jqhk8QjGDGwXMLCNUHqkY
XMCMARIg530xa/i/K9AUR+FYW8Su2imfY3CFhrbYYLR1wTGAq15QNE4q8P0q2ky2PeI0ADTemdVF
ImjFnNboO7XFyMv5vdzleKNZuXHTjyXu9VkT8abWv+OJJztDRjAHyVkYlPqJGunBho4MvYeCwyIp
jZqwitfg40DELv9Qvys/gqE010k1TgiWBQRGE5YHUBui4yH4bzOHok/rkCyZXc6ORZMiKfdFa75R
8Lr6YFmXvuj8FZxu3aXigCJy00iqLZG9FeQdbhJ7+mDWDug4aL5JE3V36yja00CLz58i5dIgPFrp
5T3nnekeW8JJ+oAtOWY1dNFwbIFAd9Zi5lhEGsN4MWG6rxKdCkVRDEBaenbrTM0rKDfgE0uku7md
hvmji+EdZWIfdJPnZ8p90g7PQfk9RqFRUAWYGmL/sQKIk7/omXFpagfHXq/f2BxoLanca4gOcUxj
Dyi8SJDeByE0w2dROHiKff0GORIlaXxSlW+afFEKe0stfgH4exK9tR17hZCZyHYLpaUQTk3PZGMa
KuPG7tG3OAv6KNd2OBsbyC38L2y9n6kzHomY+ZZT362wEtxA5I1o2VTAQKJ3Dlw23vHVOLAVtONE
r3ZBRMsoor/spmn0CV4K6wyZQqVxyYBE50lIyJQPRtq2750xeusuk82RTHKJlE67wQaAa9Ykm0hd
vofMwQ92hWQ83CSf+YjcnQ4G5pGaw7a1H9Tkk+V85NqbN3Zj7Y0cTJg9x+8ByAmqWVAB8ftU4L2l
Oc6S4XzADt6EcfS98Q2Y5RyD8brIJQ3lPZMZh3ud0/uC04K/HIRYpy1fRG/4WtyimhOCPatz2exg
Ml36LMoeRsO4Et0UYKRxxLouObTUSyQgmb+uZYieQin4BGRB05FpuCKsBY3MFQqG5jkMeGt8ePsL
fG/g0hq9jpOUi0Vm7mEMi2uYOAhGMq48ug9+delfeliiq5zeXVf4OwSUcHTmYtM56dKyrOPjMIr4
KMGIrm1anDQR4uKK6Cd49GFwy5FTuZmCMt9RFdPOIOPoKhsKxy2jxT/Io7zyodXsq4IqDguvT+C2
Px/J1mHVhODhWKzmYZcWJyaTxcko5zced3lolmTRqTYjt+Pi8bpTPRt6dIh6yGQL+P1YqA7GaS0t
PErl0IvJn9jZ/SS8qjRzKr+kQo2PO8GsnPBuwBkKTxVnNU6as2Ul4ynJkOsQBd+Snm37XuSM2kPf
Nao7SLXfT0l6V9VjeiQjMV6Nufz0KRkuIOLhRSCRcWIkXFrnb6UWc4jo4n6dNgNjbgAiWIPvYFjN
5M5l+xAq3drojdntpnTa15O8t5mUvo5hy2sDGJNRrEWjT/TizGcB6ZzIIVLUdFhXvlZuJ812azsc
rtuQPIwpgQcblMonO/+F/kOyn1H748gnHgQVIUHahPgQhgpLYbIDBgxziXlEneXRAS/FDqVDM4lU
kDBZeQRfy70Oy+sYzvuhpiXfV217GqPotcS7RRydCVQu7lal0TsXO7/jUpzHWQy7GmYYvDcQr9Nn
N2hwhJsOaw1atXUSEOVHpNlVWlg9sLLXOqHtFk32BoZPNcTdxRqM6gawwyoxnN6Dh9iuVSs967Bu
jkD8QZBmCRGCTswZHqT3uuIYUuGSPaQkvJBbnK1lEnM35XSnDeRx19hmFjhldyAr4YwaTp4qq74m
rW6ix40gpGQEXFnwnFoTo2qm3VSTNe01Icqjk0mYI1P5LjRzn5T3iMXzdS0mh70Ud1Q4WjeDEq+l
jUm0iTOG7yAhVZKCR35URnTFiWkTuAFL0EyJSQ/1kS44WfRMy/xIAiESsDB8M+2CrDqp7ksWZOoJ
jSadzRO2ynuWEADuMN+6F6LA2B/owlbYI1M9cUXTT5v+2E0DWIsIElAUByamVevKrOFjGHlxXSb3
xKtBL0uUGhuG8Rzm9YitilNPTxNtMt0inyE8YvMBoeA/JEv6Cw3gHfxVyGb8CyjgqUkKiC0hfZqS
YJQRRv4c+kwuse/6sdiYTXhRY2ii1TBQYxlPwsY2btTU8E2Wvon8KYkQp9ojpzJhMgSMrwXBT3tf
7aAViiTl6JNU6xmm8lZmQPPTqTLXg0oIairC85gar5oT8Y/PxGdlYnldwBurcJq1R73tDrANcFy0
zg5Cr+YFbX0OGzqdYLogL8RYxqwENmrHPK40/IQw2JF4bBAHK70l0FpEinF0aHqxvLxMtibuMz17
1AtGixqEjK58DmNhHOGpUVu0+QEL80M8EkzJ5HI/67W2gcFAn49G075YiDyMta98mrtro/WiPh1O
RvOaOu9dLYnKmJjKDUp5Z2s3anrz30Sdx3LjyLZFvwgRQMJPSQD0IilbpQlCVVLBJnzCff1d7Dd4
g3sjuqO7SyKBzGP2XnsCv5euDWQ1YluCupYzYwLG5kXc6OdGb/5wH7Uh5zR9r6y5sElz62v9zVL2
k9+L/sBrHfU9J1zJzo1CSyeqAarY4CAbNcBc4mrxLNZsDGKGZ/txUpU208S6oMfqSyj9RMoUkd4R
Eqljq99SpO8QbhY7v2JGg3r9Nix88Mi7dFZN5u++tru97SHHc5Ymvg3IK7epN0bpNOcgbYnnAKZC
h8Yc4JwZMbY/GG/9FN8Elex+wRmaIZZ7Jllm3LQUNbd1gYFRTU/Ktepn2r/NYEzZtaSbO/s5WRR0
jkd71r5Mv6rQzHjbKcumg87J4hCbcS0rpjUQ96K8E/xuagWno1uKoUHKnYwFcD88+BFACcl3N4sl
yjKSJaqG32lcY+jhaUuxPPR1OKtJktJNZnW6EBcy56C2IE0vx7jjgxfzuAMEWAdO52dXPnF+7Sif
c/VDovLGNB8LImCft6EewEqOzUQ8pD3vqrV9lJCdcYylV2wGZNVhLqigUcWwo1LibN0Kw1tv/uSm
VzhpEJzm/ClN5M1pWTJni8NymqhFxd2a0ApkEzwOu6Q2xHpIXYa33J9UDx+zBcZijmJnY/o4EMDF
+DCv1ytbpoQfSHS7meyytl8laUXqrtgDXQbXeWc0LniCJrUxkn0DqOMLzqEbZPK1FcW8Qy/DYtUk
1bAFGJ3kvBXeaMUY0qlSsnz9MOKUpxgjuGE+SWagSIWQjMYxIUkOaRn7LgcuYMTrccREGi5QuPY9
x/6qab/ogvtf1Kr+ZlVPAzcIgRRNwJSAkJ287o+tGiTAx14ebK7ox8x5x2U1EqlWnyQ7yECrfP9A
Mo/AHekjAkZXcs0muryKhdA1dujAnOYIDc9yrTIEmfZqkRu/ERU5E8XyYLHEgQKqRfPMaghfCtvk
9Nlp8++iZmJdeMirHPWXsOQMrsiDctwzUJ6x4UOPa8eNcvLvqZnvj+MFduNEW8Tfm1kBIB7Zkjyz
YguOiPjB9Oo657i0f0mBMXQqkOgnNkLJ5dO1rDdhjDZItvSzZjBo9epAsfCP3EkVgfroSX6DlCKb
qDXIJhI6RIyY67QnT41lTcamK+xd+zB1e3xFZ5nVdrAYrDm9pAhdDPSUCiRugXnb+bq5IL4bo9xv
Lq1bvQseQUbGlK+pyL7pAsvdf+ViSslbN+JqJDfcoYHSgT+kLExLfX1zRPXbQylGxWu8WQgjYt1J
A/ZZH4nrkEMHnkW1831ReJQIcDeDV/RdNjUp/BzD8g5ZkoRLQWKMljibvEU3McGN0uq/hK7zXjgI
W6fVUB8mZJCldX8lfuYBxyn04L+/HIT2Vi9aeQDabj1CIamRoNqGpeaw8RLDOyiGFFRc4wZVhii+
AysfeF6JmEcdU4Kyz6UeAqQ4SQPhSjq3/6pyqrYDioUAeeV074dyPMWSY6ljFgudI3kfBvcZS5Z/
q3xWcC0KNq3ByGPSFfU9oQk+JcqekpPUJi12TxUllC8GJgYULoUtEmh65b+YOvimmSTyLKzucz9G
kV2nH252pa3DmjmyT7XE9OZQwmgxoH63xs9J5inBRHlz1PJL62juCacl/kUPwmIxaPYzSx8+s54K
TA4QCYfcOkDA2zLltz7bdiKeov/rzTY4qcb6N+UiSlCI7ld845uSs5lbPlW/H+T5ZgWZkVVXpvv2
C6IAk5f3ET5p7WCQe6zHrAswWUCvEypCzbDafW30+wei66At7AghkBVRlpANwH9K3IoF19WUf5t2
6R6Tx1YdjIQ4OmpkMZLY66Ex4KUWBDFtJ4mkx4Q8/4Yyz2Nhpy6eRk+IBsC8a94e43CGZrbrUEAu
70pTXyMCjj3th4z6eYjMfn0FnB8fUfcSebOMghzVeqsRpHzK8/QAyATsRw3OsdN0wCN1uQVe6Jyl
f0lSmeADLfMwHmIZrP5rqhy8Evr6y8SDs+8LvjM7M+669J9S1g9H/HV4g/r83uAVeKmkCBDP0zGN
QWM/NqlGHS1TFt/SiTJqosiA7z9ck7TVTsa8RT5EWFwuRliPabBmlY5yzLuMC0tMSmwZtUMDgiQr
mbsQ/AwxuNw5jHq29UgnVCc5qmumNJ3GbKVw//JbJGQEM8FWVQE1aO6CB8GOfZRW7AHNr6zYy2M9
0ZIMxjOi3J9J880TdoMfu/O3UDUVuWzrUyJscw9L/UwuT7Zz51adWvVQei7nYh5+DHhtb1lLB1oB
QannIn4qemKY4ST990F2PbPWtrTD0q6WW1c0zk62dRlEmSn6u0jBE6e+P+ydYiCAZIVv7ylq9G6C
5/DfX3Z1wVpu9mTQaZ55QeQLCHIGd8nIeb8yFwKUG0d5Wu5gcR+k2br3sucrhVKhl6N7MhlKwXAs
1dH2GyTE2Ue8PsRrrjedRg69YClXDyBPdp+WiVaB0qCtJbKvQrpRYa2frYx1xD0oVBKUUuyV1j8+
bOpozRwGSisnOtIWhchYUyeB4acq3hKl3G+RANRNu0x79pgj7ODRkQGRe+CuWxDDBXmwSQ2LefJs
RtLpGodNxZqTwSiYJUCIoc10kQ0bszzha5e4IBAt74z+1LdefR7rkmff2Fc5f5Je2Tsv1iDEDzuV
6+6TWGp4hDFbllFDIWgw1L8YhkVP4POo6U0TOeBGuEhJR+QPKKK0IxLc8MR09CFFRzRo6CNcERra
UIVzg1t0mpqbq/zqqXKTP1ku6Qt7feX6UGaoNGvaqoo2ET7SDJnDQIfRZ1CIHugdFM/3umlUaFYa
NksRG1cQPaKDd+kwZ2iSNImGWvzATJNPjm2dXLe3dqNSDWTd+kBQ8Jf6pfShOUh6EJb6ZwiB3xmk
9ohUVIqjNrKHsvgTEyowCSBlpHosxylr7t5kyMOCBZsficGP7sBPmQYdsDHtfGUP+iYe8vnJ58GB
eMQoQKnC+yBZ7ckI3dkkd3HsGzQ3rn5FOU8ap8da2LVDiYf2hL8xfS4s9+VxOWRxEX9ajR+SP1Wc
JagGTG8oQKZHZLqrlWdTEotn2PG8Y1VKoIOsnv7//+Ii+dONqtiXCwcIow9ItInKzq7kB7MMAuZk
nKC2mBN6T6Colmax0zKSV6tNp6cZicSW7l4wVcwpoXut3zmWjTRyTb+rynTIeujHWztWoQcb5S6n
6rWcirc209uT6S75fQUUjW1Kbsw+Hm9Nw67EF4hNBSsOLzXSS5ab+3FoTsTZ6Lsq9swnqBDLU3tF
CKYOYzc8V3Jg4FKy4RYabZOlLHRMnJZkjP5C2t3uwVvowSxoptIjqKA6itPqH8SIq0RdtDNiN7JX
Cb6ghC89h2Ls0qBixcWY4xOk8500zneNJw4oBgP+jPZ5AKYYkA3fk2yQeGdI3QjkIlGoFyC5v6ep
LF4Sq+nPS1VePY2q0FMzC143g3etBwjxLwQbAX5GNjIaGkmNkErnh27W9vWY7W2zg4ONUK2sqm3O
ht1rnHvFTEgtoVGhERpxD5ck8dVx9ksygZxq4PoooBjXJMafcrabCy810i0GETIBZuY1frV1Yv+o
BgK3H8drmgrOWOtuIms+VLqzt7tmxJAyqI1LJmuvZ7fFIXt9yo0HzXs4LPVvUgsIMQRfz6bfu6E1
O80mlUacDZsGrHVRYM9uyN/s8kUQGCKyr7Eg6jodzZc8Jk7c8XCO6UTLJGRk8Uu1kBRpcWlo/hLt
ZJHhbc5RZndF0NbgnLtuWYKkdPswtrsunImN3hcm4wBNJeTnEJM9EBFxATkgj5Y0bwMgtbc5Zm3G
U+Lck/SRR1887D0F8wEy6ktWyZfOBiaW65ivZSd+SMsatomqx61jz3Ag57UNRoQoAC3ap3acT6uo
XlpirbazXYA9F0mgOTL+qgUdV68Ze7236cksNqiJtuSor8Vz31PUEeN9HpyUZ7I4z2bx5lONsnwb
92vsfz0kVSuiNGYusEaG7uaK7pPl/Qnq6mOHEtJjG2wGfVNjB8iFbacqRm647ZbKJQHB+eTK/6NI
jYc9WIcJ0eUCGe8zPnKf0ewZchhfVn6LVf/RYUIPZtf+Qb+NeK6w/nKyHYd6DWedr6t9WRz1b56Y
RtDJbprRIS7Iq5ZL75UH/C79PdW2dpVZf8Y0DpOiaq8QQj/R7JL/0nkuXOOaqUbGnFZL2EHj8LNn
3+U6rZO7b2JGsxfrtDZIS0B1aVE9QJdBg9ic7KV8F+DBGIeM7ttYFrxXk15/tLjdmJUBhgOLhS4j
HzjSSlfng4lhN1PmJcFsDruZolPT2w6+js5y1WQLMzmyCZ1SQWYtRE0WSwQ3NX9yhulZm6tq19Wx
sym1XAKm4gFbDfFplUxOSh2VeUIKWeEVFfVz/pV1yafnfLQpAT1TAhlFLERq6WPB0+dAbVz5c2P8
ZQGP1EO99JRoNZ4760d7zEsJG/2pKErZHLBaRM7AxSDuRdYjp/Ss2/hA/Iyz986T5G0JMH31Vqhc
VczqzG7LsKM72YiFNI/MWr5GKo+hhbrkwlMCnW1+ucDNUN7ACCZ852oZ66+2U998SHyDWxYPDM/i
cotJ+q3W8rvPc40Wkd6bz9GadED5qqI71zTSAkhH8DKEw+NQ8Vb03UbjffGQ26fpSxybw7XIlrdZ
085kDIN5zMHOE2i1M+WESrWCbAWbb2Nikyc6DvnZ+lKLRt8D8nxhNPzHUP0vPD18J+ygLDBzWwSV
qAlLNg1yvcY6ER9EejJbEOychpXWaM70l95+ZFg8JvnCyfc5rMTf2pSQH4mEa0qjqRfTU5xeROfk
qFhkvCOungwm7010gOjmobumZOWMM5jlKU2OY+PqhAs94px7Jpcs9brt1OhUqgVhs2y48N8NDyWw
QgWftWeZGKBxV2drtcN0h+LMgqld+yJQ7mzsMLlFNoXdlhL974rcIlor8ycT40uDKRo9Vv2XejJY
JJ3ikqO6yFn+NFV37B2SRjK3Owq9/YdQE4Z61Y/HlgjnqFLurh6c9Wwbg7NVieeg9a6zcy7NBQ2P
AczJqjEFVXazWYx8vVZpkGrLrWhkc8aBfasNle0tmYiD1zZBAVHr2JNrx8rDL8KS8iZahziN5gRe
epahi0iXv+2AllM8tJhiGAxGFfMhSxuNtT04Ln3Q7+q9LJYfFq0EcJSDv+nRSTB+r/FPWWybzaUI
G0pes54BzDHGs4xmODCoAm6r13kIlga2ZOdwo3FdJjyw1OiGue9p5Te62bdB9lgcisW5TIa+BuIx
3sOIma2ME6wMRjDbnubKBPS8ptOB4F77yLzoHMucNzWhDOTJICMKGfhCVtQ85hGJHwbVIAEkuvvC
SIbYz4HzUDGuaYg9X1LkBxZrKZZv2sWaQWMNXjug/WqmS42ENAG2167pvOmyMdlOegeBbHXAlXvM
yVr30OAFCfQema+Xho5brmFe2xCzOd24fBTtNW+WY7rAzVUajSPRFSbYV9aAQVIRCN89tunl/A+l
rYgaKT6omJ7Xgq0X16apEWRm1axDRu6UhqC/dACeliMzWmqqWtfayzW2N1JjiAPdPAlbbygj7dQt
BtkMpXrNV7wh4MZ4yKkdi2J9+VwNOzCG6m11l0PVsFJhFbsroMRtTH1QQNG0eavF3U4rux8NXFmg
Wf5uAfOqJ8Od7J4jnd+2s9L78gmHYgykqWHWa9PTkDdllGIB2aC9m88EhtE4TrPcg1iuN61tX41O
uUeZu5953YQqHUocjt6xs8olzBwTDGi75JFdj1BmvZrocliAUKNJv/FxHh31Giqns7qwcInuc0dl
blHwwe2V6mbKwj7aEm6fTJuD4y6nukM+MafqRCqUB0l9CFEq/AEIod9rc2Kxbe5s0zs380wuAAhP
7Lh+sFTa0ccNbFvzN1T0ULTaayWn50VAaCCR7BPK4DOH9luuj68kkUOX1x6rYRKgM8vZYr3qD36Z
/nbXYIX+XCTNa09kYWtYL7RzR62if1mJi9KWj7pzzo2lH5E/8wPEH32lXleTwCDCjUXEpfBNhMbZ
scW7iyUybB7s9GzOUjCl8rj6iM97XpF90gkDD3wyPCsnTfbCAC8x5T1jEKs92I3Q2MAzMm5ZYOrl
3O7hZoU1kVDgu8lgXJ3qdWa+OKf81wkaqIl9KUJTrs8ekta+aF4sd7mXHrPueJwCkS/Ptug+Ggfr
5pg2WzV6zBdthnLpgn14iA8Iqq26yI9Fav9xlDFRllZMSqxRBFXcatsS589lUbyXhEAQRYY2is3U
xrLaT+W2L26uqHIF6hAmj74xfetu9dIjlc49e+cyeSLPsahC4DZbMXuQ8FsEQcdKmBIbLfp9wJZu
qoEN0z18MZ1RYX0noM4uwas7zTOBOZ+WxSaL52DXQPVc+4VVGvlw7mw9z2lOZjdxE21Fs5zJZd86
oM5mYQBg9EMUuR+y2rW0NPteZz8h14Ni/IqUzH7o/hZi6EtdbRQsvoOr0wd1o1cEndcx60HhhBBx
qSOrx7Ca3bISUUKRaEWwxHpOqlQMFX+t/nrx4QHLJr2DuSZxAbzbiJir5n0e3INBTHEDobGMZyu0
egqgvkJ3D1llK2iZsxT4aCW3g81mrSquQmEqL9R9RFSxmWZzL9lREW58pJ3djZbG8F7/YgNzMlR1
nMwXOaHGzVLGtXPpR8hLy8CS8QW4gHjS6/6QFHMgvVKLum76mi33uXMR+YH1YTJbzhUVKqaupR23
y1CWh2SJz+3D9ptMK7dfyiG75E8V//ro4uAWxFzwSI4Jwq9zvdaBXGqPT4ZnECHQe5/Vx8f/4tSC
8/ifAAObNNxFlH199oacgOt5tj/n0fhxDULJO9X8poHmnkYwaVHZRtOCTKLN+eYRrm7RqDsYAhI0
t3ETepb0iT9CUMGOmUkwqMSp7WkPomkmlYVok2MyJ96+npJnVUjqpZjVlFDdRRbWD/wWRJmLeVCI
nPBjpzuCXSHk6ZzNyzfB7n+UlSLU7iEOe/mTjlR9oFxZWu2QyPUWEx9HWKf92sY1OUL4B1FglRXS
sspqUYs7n3XLYzWhUNi6af47t6skGh1S0RrbxLLMaVqWzRsqQwZ6kiFsD6Nq4/jVl4J0zUgxHUMW
nw1BGYjt2esh+DMxaSCiotzjNJxyogqG1AjWUS82TlLw0LKZ3NgDO+ysDmqguIeJtKtN2qynNR6o
dLQfC8nQth6MI6i6eJ+QFctgoP7oRphDhk5rkkSNcnHuez5gW8M5iZrEMUvHreDPlbblXdeocrbg
mHBH+vF73fMFDRNuKfJ0VO4YgXTSsCewisgFmHXybmuzJIXUOULEfxJJ5uyn1nGQjmhsdB+CTIbC
EToMQuIfIloPVyOiwLat/ilT5ntmFIRyJUPQk9Xq1TIF2siMO5Ul4SK1f7BmyYrKri/5ivBrjt+n
h7WiFsgLIDJdRU6DJTLrTl7mUQdXTho9qj+fRifzr1jdkIDRoW5Ib/KjlmeQMQmiZ4mpp5KIweZV
Q42cMXbtfbjhaXYfFpC2pvudemz8/LeqZlXigb7Gw8BtvxLu2/Pe44NMTp5GSqzNN4zxydkOzOba
svvjzBK5r8iihlTGTZyl371Y/0k5PssrypGaytsttwMfajPV8UYRxIp8+7ux5TanYXhMgIiwqIOq
Rtxo4OtnKMXXsviXmUDK0Tamy2iii6L78RP04Ry0ATELFbBtgSA73S41fiLNcjkeR+Q5PD40R8u2
cPgtlsfGTM6ss4ky5x+qlqjV+XESWIUWGI1NoTjVC4YvUcFQjgy9e1tlDMPTKsh12wlM1Kn0RWz9
GTLAuC+fa6Ma90iPL1XikfA4AImYSn3nGIizWyRMpcNX5D3UMmuCMHP9xwTyLR8R4lrGyA2i+bCI
ptHduta4X9TSbkmQrBmmIEMUCSslLX443pp5iyhNbfhbeGTUr6KzZCCa39xPDjpHZOii6yhRDfK1
Oh5AO0aejlOKLk5bp1B/ENMWu9uuqzbwJK+8xeeknIdA9xAzGZAHcBVgrq5WHAe2uOlifJej/dsd
upW7wQaVmhsbNORF2DcXp20vmWv8say1AQXN+IKV6c3Rp/LUyeTNXD8TXm4imjnQSm7xxWTyAb7y
rRJHlLfTtk30iSu5262sd4O44OdXrvjBYd1tbE0dVlf91LiwdgtXj0M5tIEJFdWEqBJBf9FHvwm8
NuizrjrGr4lEH0BPZaIwl0eJkxiBrveP0J67WULo7Mv1kA1giEfT7Imt/nL0rr8jRoq0qtz3jxNe
YtEAyIPKy8yh8cb5zRqIHJU8fOE0nvqhewZG4e2bbjzRj3Iopqj0XU2PpsTOw0IjRaR41XpyVMlL
iFp3eOmaBG21ywQmy4CRI/alyhizoEvh+msJe8XHGlPSi3pOcc4n4hNm4hweGUdD0KHMD0yGkrXu
fjmL71yJqGMdTeOZYUNJDPs30QVYBRMDr63/Y5gZxd1oPbnWcC//TJrx3Q4+JinOTMfT/qIafJpN
m3TyBm2IZpJF5xGQszrlq5tZ7Q6t+QmSPYE9NjFTzPKtzWq7v/MF1L5jqBjYiTVEFXOgtbZ/LQOq
TCEAH9ZccwTyKBbBJsSNmhHULpPWpx5TE8R28lunS04Iadi3+g2c+0E1xnofrSJSBU9aXrKAzRs6
og6zN24e5Ppdm6CKJ5DQoNPNG2nvVWz8heeOSB9wjpDwTjykNqDFi5DmyQ2skmH8YymIv1VMvA/6
YDub1B2J5Ka/PZBezmG/SUoKE8hg7yKx/ym/l1E9PaVd894n+JWyEYd7wgsRu5RYLlY8lTC1adb6
zW99/xgPTcjeIkZp4f5yrRR06gP7Renf51BjB/JFTH8mZlNMHUprO+zBX0f8yuEyzVhFV3/H+GQ4
1Jydp9oVtzLjllSxw6lUrglxX4jhYoNBY0zQmHQF8jr3q5ukz0ba2+srPR94afTfDm6wRmEfWfwm
0pz1qyPxRJdkSAnj8QZ7PJRiUYf6NV/QI2YGFJoyGba2Tf4WZSv0l5WcE6rNi71UaqsLXBzCGF76
lKmolfMj0Dwgq6S+g8uwrsoK2SXR3iHr5mPF1kx60Nk15UubEQE8cKRsHsPaPB34I3Fl8SUgi3Kp
ctm73Ct/zPdJ1Z6wI30mLRFhraj5Oho+lU0+sBAa21LbojVA8PxmpTpQBjmrTZ3OhKH2Nx+7S1BI
XAsEeG3XfFgPBTGqziLw6CXJFGpOEW+Fa4TVNC5Pa0GNqtEMzt9q9UmQSyqqNt8mcUsaBV8t789U
KSyz6QhFmtgj/OJpsDxuJb7twxKnDN2Ke6z/7XIGNVD4slAV+S9POeQoQ6jet6y+LwRuLPiCcJLU
DJkik3CgFweGwly25VNH2dWg3T00ZYx0oaLfaBAkz9UoDj2ZlTwYA6EHNqp8zB8FZWYSgYBvD0Yd
/7OF7r2YFHPa+lL2Un+RH2xv5hvj3Dx0GrJpiamMbFFZL8rtHlqNOP1xMSLU2evglJjAhsLZ+512
nSRT8B56SIDiOAn8IcFEI7ImojBjRkZ+ERKAV4UR5Ar67WYYif6cVYU6Ekv2I2qziPoUZUFvGwiS
Ctb4aJ1wLQIQeX6IMAyz21eTe52qro9gmo3kKssvYAUCn5YqQSq2whkwnoKeL/KZLwnj/Lb1Yvfq
+cASWtgQcdqnN1txPygsLjuVsf9mSMxc31Xt3k+Wby3vi6ObEz5BUMZLU5K3zFloOIizu7QuSAZA
pWIquHw9yQixN67R7AN/YCVVhGRPQc20jH2csZUblS2iqacbTp1Fj5ZOneMFG4+hMKEjD51PVueV
4dTLi1EzMjEJoEdxY2jbQucyYtlebbvZazZoh82/s77spcIgVKdC7FJU37BIffEiNT0FUYfxGhEP
s1hmZvvacTCQWN1wd5cZlWXb2nAsKGhRzLG/94j5QDS74Y52Lnn/jEuYYiQZxrPNYGMzawXSShOh
QZtJLZi6NvDoSm+ZkDmbg6salB50GfWrgQ0X55keesvylSqfKxpZawsMvF/kturBzJNR8qIG6uFu
tf8SgBgQLooddDSjWkzvTBTJ8bMeDmsoGY0kXkfXluaxxEl2+kFj9nEEZL1nYYO1dHocBoZkQMbd
YVS1jJaM/IJZAGOcLMzOaETEWs/naVrK7TjTd7KY2aRGm/2yHm2yFXeB5hIfMnPkbVh6ead16gfG
NxBbNUwbBMFxrpHJCXL6niUQlzqBo9M3rjSU7qZZF1YMmEXa9pGP2AievsH4zUlVAUxs3lRutqfO
nckcWJ5707BPhCLuE3t+bJm8W0cPuRO98RaPH0JDWxyLCfOJ7Pbp9G1wnw77yRjpyDB41eZJ+so8
SprwQCEI8KVgRENScMD4Cv2EdP6OTUXNjyebIR3yLtYebwic0z1Gd1yBObXqmpmEKOgMN+V4rAeN
lAP9r9M3zGu9/iXvvL8G6oGN8k9WbLZHNTHRxLbGIJ7WLWaWExc1apeoqAjG6qexpVtkc5VmrMo1
1HoIM/KI+fxZ13A3y7ZYuSyA5kOz/cee6cI0pjhqhvHK9HwO+z6744grIkdNYEl6wkpYAlJbkbC4
NCNk92WbcT6h4a0+AI2Xe6sTv/SC9bPBXLpFO4nbRJ4KLX0klpVjAHECrX5sh4nLbIM3vN+YAk9Z
EbtfZhWH5Nn1O7FKk7m5ru8QsXUHOXCvujMb5VSzxue5Km/D8NyuVv53GvLXXnCvN6aOiBincJWQ
oMGgaJNqTSRZDBEhaww79l3GkfqI7gBD6zBreLe7odixges2+mAtJwvr/m5qNRZdsyS6WzCX1NvJ
uqQqI8rTUszK7OnLYvwMpCOdMMWTE1TRlG6MjjSKVtpvsd8vr8wI1aEyenz+CxpVE78qA1xzOWqC
vocuvSO9wO5PWpNwhDRWdvdTL/DrBV1JsgI5r0frne7wxUj9Q244+rNPfEbYsAighLEvCuYcfRZP
TMY3jnuiJDytNObnwkv++u1TNjve02ixbBN+R9BwnIJKsXV2Eryou0ZDHWbiyDlkDHLyx8c1ejRn
3rT0bNlm9HbNgpuGLIFNQTbxxqFR22pMPZpqLhluorc3EBO/dDngBaR7g17pb96IgL57bI8hhTwN
tnqqKk8C7ImrUHPrT4747sKQ96G03idTa7LNJS4XVYIfnl1b9i9zSkO3jm4Z0Y49dAk2I8jVWXYI
DWoAggzIe48sslrPy5fRzXq2ZcazWdolu/SCVRO01tMA8npP2+B45vxKBXv14h8bpsShIkj2aenG
aset2fzfU2Iv5sVEw0i0N/2Dv6xXCWklqCqIEtOaNCxKSfmEK/IymViSAfsre9TDWrnjaUF0HeZu
zrrIc6eI5LXrOKAzkl6vbf210Y5NTPSbmobXGbK9M5NJqmckHzr+W9yukEARA239NOvPfWK/Fk19
drPCvTGuYA6O3TetS5AP5LhEPb++Ihb6iMJ9DiVclC1hwv05L8cfct9nXpOjPlv+sTFT6qs0vhhT
TTXTjTBty+SsFTOOpZR+L9G6DPub9jYOU3uh3auC1B8ES+TmlSio+MhGMRBsno4CZ7D54JXk8K0Z
ybIj71fG9LmnjlrLYp8xYpN2NGMlNrPaQ3TfusRqNYZAdVEBhCImgfFrflf67B5m4tjoQ1ICkQon
3lJWBqVS66mvf7fCn760LqLUx7MMcOLot7Q6w2hrhIz5AKErndhK5E1PK0PdeQYNMlvmwSI0qOCV
O2LWu/HGlbthGd5ib1ZXvafWa6aJRNdBdRExYAQKYNnb4uS9q4GErzHFBjIaiwxgjaNTtjWKdz1d
z1X2Gtd6fAanpJ1NG5MmSQjfy2xbN2WiF/QSSrORmoFRUo5NJ1MoV72tptuvVYNqGZlUUHf5N5pA
7m47GZCnAryzl5+WYWzazQyRajQ1scutgP7yQPtsMWaxdhBMdnlMkh+RKB0sLRCL/uRt7KL/7B/6
mk53GV+y/vrvvzp0c7j0OvvRJgbEuzpf1jB+MgcmIv4hh9SVreMB4rVWrVVyjH3jX5x/dYb3nNE6
Ly0GDpsNWlUU5R573z4btZ4BC1SeseamA2pfY27uvZzdECFnfPP4GhDbNeg5GoxiAD15UjSWg/RG
XVePRLMshxYFfsiZs+mH/JARpBUZ/S8u5ewgWEhcWwoQKayPuA4RHQpUlUt7dZrpy7QZSrXMcuJ4
4N9HHeAuDrL3uOrQIw/Q01Ht/sHvdshVrR/qsfd3Sninpq/mj7QisEL16pU/uHnqHVPu/CZbTtPy
m43+fJzKx5nWkTtvy+xFe1Ci8ITXm1FZh5zTgHsa/KoptAIRXou/TpO7seyzKNWDJq1I5sxipi6y
e9I7eAi6/gd9Hqb8zvks/BXCj8GVgepS7ZLu20Zd7CCTapTfvTfuDKjAOTmI/jaT6MpQ3ttirF8T
f35dGwgRbIq7E5ywY1PYzv+4O48dyZFs234RG1RGGqeutXvoiJwQGSkojdIov/4uVvfgogcPeMAb
vUkgUajKynSnOLbP3mufZiN6N7o6O8f8aqWqllRwl9Jn5ztnz9XsuKhbahuDaqJQcYvADGHd2F18
H9C6rkS5dg0bSHPXvhQ85LUb0HkWc6BlWUU5T3+pM2Y2hdYfqRGAbs3mlq3eT4CpakenS7BuW5J8
JhCJ1F8eM3ogy5zWN9nbjKOYGzfCS6+Ocsdr38V/0jjqj35bhwyO9feg+QNgdlXXKS4YQRbgpia4
cyJAW26qJbrrKSfdMdzlYDATolOpJLPuUPfu4oZmLxxd8bLTNIm6WVmkhXPRWrcUuP9eqNhd96FQ
+4jz9KWgPJENg/s0maN6OFm8x9jMUOj3v7WVgmpv6+IFtpHYs3EwDvMAVG/syYArlNExiPJtCv/p
MmAM7imKOkpFG2GjcEkluHiPpVltQfbE365sQoJa+i+cYbgKrRceQ8PCkxikFy/4TQ9rfgFjr69d
3f3nB+mFtRhHdRK97Z8bpNyDXdsXHq/OSRtAzLmxoFU1ApCWUX8kbLuhQpP5r4poselRRLO1CSX/
4v8IcYpUf5aJ5JEFjPgdf9FCOgUGL5T6CtOVP5XmOXMqrI0NhzA/bIBkoQ69ku4uepTMKsdJI6fA
QTJswNVLSpCtX4nltjsAzOanVibO9Tzj4QQ2hKR+e8gaLWBqxXsXRxcGgyLckBtiPVZX/pEnwjth
sC8WURMCf1FiMBkx7MLanTr6aY151k/2yKCZWmyf8T9W60kV30uNRtcNxb0Wfrq14b5u7Qr2Hdty
sgDVwYKdlCd5i7g0EdEfrZciKSnGLW3UaQuMYYD6xufvIxPRY8PZh8OgOXM+lsxuhmHqfV9IvTa9
xeqJ9mfNJbaiVJ9AuaZYQ/IEMyd2INI5tJL2Habdtto7xcQNrjYJ9ZoNG9u+HwlhLWFoJ8n2+Tdt
1OqQ2SkWh2jmcWoC4lkNLcvAIea5pC0HLs0U4wKvh+nYsxQ8mfFtJtq3G22nX/lwzXbCojVay4XW
UwGQckLz3z+iwrV2oY7JzPBYWKsMhIRZsIMy5EILkkSemvm3tsPxddTTMeArurUFOXhGu7TOvVNY
cR9k4Nc2Hka6HR/HtLYr2rN8cYnAuD25iRqhYkbbYqaw1KbActVHC+8nqL7nCpWTB5xY5x9GJIgF
NeT3TGriz2Znv5Q8UNYkcMJ1HyW/S5IqcJ1D4zgTLFwjMplXIBukGLvmzfHtj6FzLWKxEG8ECfOp
tuYzBH/sZW1a3DuuXmTxvr+hFaYQ11S981s9rN2uyh7//LN/foU2e0qKvrhMugWrkwbRTs3VwpGp
cziNZLpSUBg460DbAu1jNTg8WZ6gi1pT3Bi7sLHIWRIfq8rzBJNIODSt6kSf6aQ04H5GFtIrWwzO
O9OYd08zyya7o/MBbikBiSLK7yTis3vmhh+DRcdBqfv2AmrpURZTfyDmOeydeUTXiZhu5qR6ix3r
LeZyeaKa8K0pxEgONUKAPPRJX90W3PvX2Pq3KfuhkzC6BEvHOvP0c1bm2wgCPUa6aSCWKMTFTmPz
knfhWwPx7Jkhxn3mIdGvC9LuSJbL3kkBOKrNFre6an7JriDoppKf5QQjJC7J4xa2ZaOTNPFHa/4W
tYqvYUT4wxcVz2RFyNjq3/NAfoRUB458Es/UzlNzA3780vRGuWV4/HS7IQVbkKot+JepWUXe+GgS
EdzLKp1pXHGPiObu+Z8fY6f7tcsx99x6tFemLdHBecORGvRUxFlHjNQWS2fKqSWG6KACJsaBk+kd
coM+VsTEN3njvEjTF2++6KkYzkl0eQYGJ0H+DWDKro0GvPw+mgEAvF01bXPysxTO6k/WbBzosgx4
VLVOs8je1CCVaGGJJYeDIv7s0t44e3DbM+1tgdI+EZtO0TtvMkhfsTbjb+S1UDgAG3lBpnZ7sZ3M
PmO2++EpV2Ilza996mHw1HQJ45mrPBZW3imD7vWzzNxdPq7nGrbxNEeKXbf5G8zMt2iwSxshaohm
7XNpjyqdENIkuFa9SF5sXRWPI2bkmIKrO56ycDegbNN87kIgoPqXbIGzsWucH+UcVhu6ir44ayeP
VnOahLbzLbPBPYt+4jWnhxPA1G5ddLxj+7HjMuqOTufl72mA0Jy6wfCDftAvVGPqr2n68+m8PvSj
9xzn7vQ7RmabjU4fyPCG6zHRMVHb2sEPFODH7awfqLn+I02qG6FU8gil2935HoDK23mxEXLkANzQ
0WoFJfWT2Aa2o0XFC10S35yX0Dh5N94bFdYXbYOA0ppiNDJt4hp5+/A2dnPzpSShuQBZmScCW8g4
a77naJppIjVeGSeZEvBdPoeOS/imjdoNAmsDqCmu7kYLCNKfZHG1DUJUdUKxZIsNczNY7b6S0AlF
NB4x53JC6bHo6mL01tDsxYbXi7lxh1bidcTM6DXGibgRwGwa4qZong9Z780nUjnAT1K/OkyGTGj9
ce5SlTvNwPO7y/xvLQATYAMVG3+pKu6R47bebzx68SpLxFq1jvHAHfeiMhpAOUQRqxuSU42SgEGM
bFqXoZuFNYfmtNbziXb2n7YLCBW/Iald69yVRf5ipC9NqJNba7Uwz6xs2to6XXTZ5jXnFa1GICLJ
0hJY/xrmrCUtVberUnA3KtR5iOWHsdE/h6D+mOCXAP5mVv/rumAo26lEbYO9wfItYFWp3Oflic3u
k9QYXKhpzev/n5OwPALQmrT3FBiDeTYH7FNBzz4+KQP7QUm9D2v0qa2C01Sgjva8i76oY1gDRIsu
U+hUjHyYNys/Lc8lKYzV3MavfMDenXcDlYyqjQ8Dxe4bMCLkfepq1we1eh0Vn0mRUu+qIcHqIGPj
MauDHGbCUt5WdGDlrExbL3OG1DjNWLytQH8QSz3WCN7RUOh/D2pqgsgu2ofMofYlUow4P6unsqEA
bJJieE1ivpqGa3YbFDASWQkyDJReeJ4UqE9dsIxT6TjuYpzNO4TKmtg6bYB5MNhb+qhY5RRFsrf0
rc0MCLCz6ngjeskpUvGvbDjZtmjXPLNxVHtcU9o7jUT5qdFpPCyQZnWqkQnTmv/UAqLOZDh3G8sD
i+/AebGamDBBUkNPcYZb0QScbSISrpkXrOwGy8zcRvOlAcWnnnWKt6IqiIUWISblHjf82BCitIMW
giIHMJS+KOGxFnNO5pE4ZjQ2+5qMHl/GZ4Z323V8IBdJ7J9Qj9+yVtYvOMIYHKZQ71U3cECn8bC0
G3g93n0aHZxhqfEEADbeR8SSmbWK8cRccKD/ytpXS4EaUwXa9DSGZ9p4z3YAEaHGTrbWoUfn+BCk
pzo11R4PDoSJxjj2Ptm2glJ6UWTRUTjRW5zn8AKRzzcVbr2ZUfwibDEDu+HIlgg32lv1xEOD837l
1Ze8USejwsM4GWyjvaB7NmWynWYnoDLEz1CoCsUN1BztdB6PFL5gH6IjbKdpVlmlosouTQToqcge
4PHUU9DXC2Uu83ddPvwUfec94miSaDPcdE1tUBHAJfFqCWoF3BqbfJ3kEemEyF+RHyVFluhx5ejM
OuCRxtviRYsKT68KyRVGcTbAWyXahn1zDboiwtcyGDWIlLwxf1b9NVLqFqfvOsZ51TrmU0OWf2VS
AL6DIyqaLXkneZrUH1fhq5cymCDUDS0LqeHHyGyQYWo1M0a8sv3goFpRek7ZXC+7fdUDy2yJixWQ
1VTVTKuanQAYk8HfDFk3HT0RHBSlT0fT/0Ro4RU60OOLWZbllDqadvIrw9fSVg3VdjpOXxSfHCCO
9Jbh56ta/woF59Evjkan1/bRBPBR2ZaDqA3yb4rt8DTW4a1TaJ01uxfiEjbOBYYuk9foVcTwyvP2
V5digpfnlLUdRRk4GNnysdxUQ9ZcgDC7bO8De1fCPn4ETWVBWKjXJYfLQxh3zsbF8iJIsh8rzH44
58kSGC5Awj5s5Dbw63BXxA2PEZM8fGASO2h8nLGAZxLC/36hsWo2sNpmMoErQ0F4wKnwVWlqei0Q
fqkVGutIZNOj9f21pH3oYY+q2sRsfdG/k51dT8NrGEGjLKT9y5ngZBDNh7bp0X4hKFUCMUNXIIXc
GDxb8VkWQ3Gaa/cvJjVrB5QVX6E0zc+AYNTGy9v26Mjx3GsvfUbeevFzku1TXNK0Zwh9SKyc8vXQ
fMyt/ukZOtx7uhFHkj3Tzh8RGguVvZrtC3e7dfBrfKjgp9djHPafU2fhq4so12ycvtsOqUg+XHOP
4XQ+Dm3yCYP80FoGvLmq3hNNw2En43mTL+bBDB8eufG4ZrNu8X2tHRU9p+3EZMGW0dNbuopIQBk1
1op/WpjQWDX+fiBVZcbowsIHP+CggMODx0NwbprAWLUd+4vUsF5MGSbngEoX/tYIqnmNl8DMz+4E
gTN2AoI1Cdg4PTIDVtnNGdTbgAWq4cm6oufxsxVL4Uabbc3lfjFYNwgn/dGbhbFyqYW3vOZXbdty
ayYognUd77oU61AW4kL0AVhtUDPp1XP50wMaeSMCjM1vTg4ArphHglI/HBG+0xE94vBSzaMX9haY
+xb9x9jh+qh20qLaGwYvNsUGWHraQBB2X8qwIWEZGf5pXH64TVqhp5HQrnna3QJWdHuva/4axaTP
suHlnbX2ZfLCn3GdEuOeu5pGF/cjs8CGRXkI4aQtroPBTtKOQ2PbKXSlwJ4oEvGaHa+ll6nQpB5L
rvUhnk55wwmfHMRlbNW7USU5bVjRPspZbEFsQeuJjbfWDzWSHRkWqEdwFxPTXRPgrx6l73Ar5uEu
Gh1zq3Lb3zYy8++RKQTNKjjh0So4yFdaspv5TjupH7pFIND8hpmFeWNFIGpr9CE0tfwSNLXe16HE
bTrX6iQ79yt3qvgChOzFrxw872n/Qqj0F81hW3N0mivXVdLU+KZNnCRLdnpgm4IySGCsAeuGxdq9
zTUw8X9+NSbnf3o2/l+Xjfx/Vw3rklilnuP/VEkS/2x+trFufv7vPpL//Hf/6SMx/0WlCA1jzFOO
KUVASdvwp9XUX9v/8tAYhfCX9mjLX1qei/Kfaljb/hfIH1NI3/UcB+GDEpP/FJJY4l+eJSABeQ6V
TFQFuv83hSQEI/673snDmU5tvcN6wzMt1/+vQhK7I+aG62Hceous08wJzM/lx2Dzov3nR5umSMUe
Hcallx2zSj9FUqkL5o63ZIzKk4ELd5buKg9j+WylubVpbe5uFp5XW5RbmQ7yRglzsUlE63BYARFL
VdWDD4A6EUjnK+xkGVRTE15QGZu3XNTudkAAUmn2O6yy6YqwXC5Wpmgb21grgYT+IIv/1NazAFBK
qDSu6nMhjepcm0w2k5y/BTzycwXbZFV7qz52seBLDFKWbwZbnQuqL2PGBoLL7xiy2zvNFttItLfQ
4mSSmuNwcfrg3cpmefQGa3oIppgSZ/oGaEl58FP1MbsNI1XXFQzGMXhbPuSDr0bItC5FJh0CzWLX
7K8OYPaCvMIuxX144OUxkymu7qwCjHPfut1pXOAXS3jZbS2O+8ErFsz2wKm02Pv6EXUuHpSQVx1+
kdonnmlQkvcypGb73Bm/cwtOlYHoVTkEbIsaUKLorshowXWhn/z7B6+9ZOuFc09Tt5nDoEnsHXtE
WIaihOMddZc0TdC6oQysdc83qnIqJGLIel4iz6HXCkDJLr1+E7wLUgi85vJEkOjx+jWWTIYainfW
dZW/pcvRQy1qMdb8NxppOqbSrj3ZqinXvW9E18gBSztXZf2DnRGulSH/AJ37x3bYr1g6eRnd/h4H
KqAqQRZfYdo9owQVn13k7psch77D23g3sqPZ5wQ0diTEqyfGLHQW8uRnKXK55rpa5sfo0PlDiXd7
yk+Wqf+U7s+BPcmP1IWgJS0SRGU3gzNlPCogjCboA38C4kRDIZ5Mxyqvo92PG29wVrky99UAKieo
5x2i+5W2tQiHr4yO5RW3WrkVhvCvJXVEhx+SIOKWq7q6uHr68iQ8bJmKh2DRfuT/qkB45MU57LKP
EHRJkzj1veMSPC6WJsJHcqDKgb0RBp7q96AvogZdqyq8cUnZ2QAB/BQaw1AT5zK6/ViKG8jQ7jqy
P9iNE44NG6fuJRgi+9xybZbOVBzNuCVzSQi0niC5TqE/rnRdozQMaX3y25jjLlZ/b/TP5vKjmedN
BmOwXBc+ncALNEgURbD3vYjZllaNEwUnTzGIJMbswQGW1IZbWFqHrK7ETXvqF12g4YULiXsmtABn
V2Wx7xBT8HpNVHmoB8qNeo/zaoMFrV3Te5v98CWQIic1YAkxSk15yBl28vodv7g3qCwbOfr+cVCZ
t0E94kSDxHlxwBb2YbrqDIRHOfh/CSmfyViWW+hKHCC+la27M6GO6dyZjbMVujSXbLN/D+3xKLLq
EM358Onw6GAg7Xl0pJXeZU1OGBXYKkSj16yPCMl7iqwIwQNMwfKbshvYvbceFvgXYjgTYmf253qx
cRYxi8JceNZaxGl37aEGzcHAP88GKJMGedLAxW3Ay4LVC7J9Y+G5Qlih2XbGr62DZaPg0/eEtMXS
MJ9Q+yZnpU13XFZMxQA3gnrYnFwj+EBoSInJqcppQSINRbjLuyrei4EmS6MUxqUV+j6V21n3/Vor
X+wwLQ2roGH9UvfNBG7yjjXGvXpUDgwB11iRtcO6UvEfppqrZdiUEEgca3kpVnbVf0JG2BNNb0CM
ICXOofl7Eu2FglT+DSM+QUtd6UmubUrqzmzbDnPkPdgtAc/vkj3Vktjw62dzsop94akn2xsunoOn
tCrJZpt4bBJTHUejAQII7Vfg4fwHYIY1ktIFBETLxCU9StDZuThIaxzODgZ6a25fdYS4nojpzWsS
3A7tkkxIj2lDaM+miQUyATaSefxhJ1BTbPjKcK+HTVIlrzAg9o6TttBXEXWBV1SeTbOM6PGMDF9O
UnxbBksHjGVLfd3Kjhyx6vv574RHBriBgfFM+1j+Mcv0uCMC4BUraYp73ua/6gQEMYUwEW1bhx5D
Hjntd/xWHzOmdS8gddCEtBLwVPrRx+Ohz0niKWABazog8f/lv5ve5cMjSI351tphweOZSzMeG8L3
Ae+mDokbkdTm5l32vtatTuL0lMvs6uNhdrvlkom9vxapttNkF8nqBbxGEKhmnWRYGCKcsXKqWS7F
ps+fnKzS0IhPkhvd2k8oBjaALVi8GYgBDWwbcYKyXpv/9nRVoxDYHMbr75pVIq6IBOY7H2JcwbDl
/Hmro2oiHWnRJ8z0nZqPIehfR997LgP0oBHvQ9pceosOsomjZgg+bAibikBTyPmKZmlMXHgMvSe/
bhN8vg0Pich67cr5wRFo5wSkj0VK4FVGnPysp1lHuBGp0Ih0gcEyJ4Drq6OjbHGeup7S3j4/eY2k
D6sQKbKuMHZdmTh0oJtwACH1b6qhcp+jMCN35fbtIc3zRdxx3xV9aiUM8XcP8dVxo4DyJmlu6bI/
4o10d/ymP/zaGqhIqlm5+EDi2AQUcE3z7IpZDQa4dWHl1UE31iek9twp63vWj6BHEmqWLPQrVlTZ
wbOhrbPX2ZR+k+wTtucblc/hmZfYD05Y8R4QCZ5nFRB9MFhVbNLU3pdcbnDmiu4WyuHNmM1s77Iq
AojkANUgoQA+gPVR0DwLXGcL1RBf3eLozmo6KQmErwplzbuJq+6QZWyxc9wTwEP1jaqgdGeOJ9VZ
1XsnHuNUFdTo1P3eDCOLLbbBPQuw6VI56tvuJQvSxYRjje1rJz9L3E1oHpCEUyy3q77hHDkMOBWS
pY7CLX/OfgtEDlnnlDr+T7NT3jXI2F53yxwpjOFhKq9ZMy9+sqfBlaLbXQaZEzaF5uU5wgiJh0oz
lqQl5x80GrwCNAqYTsNZluLwKIGP5Qku20SWN0IhPoYzqU++HsEBuSsv9vRTklTmExeGhQ2v6o1P
iBnPpj/cSoMYpB5HyYaAAjZUaKZWhADPrH+AQGM3OuDSdpQht5mrg3McZYtuBVEzn+S2cLubaN3k
PnpDxqprSk8snYmCYhTzRLSpldPcJaZZ+u+Ss81Xfg44WwaFPGlyfFufnk6eM5oib4d8RC+1QROz
7+0no/pwxgjjs82mw2iqh0Tk4ZUqtn3L1rCwyUu1PlV3fD4jNqbEA6EXIjBFbA2ZmIT/29OVdY6w
ol9Ib/fHwC2BIKXJWZn2q9FJ+sDoAKYECAk4a9pt0trNnUzNAahi9zzW+JADr95MGTHfnkAI2AA6
TTGHrf1hql5CDvQLQcQmIP06CU3rRonFamKp6hqR+RY4y/lBhRccLTcxYOy348nkHuvWQ0rqsySa
fI7MimE/iE6lj8euLFKkQ2TCjTHX3ga6IgwHrMEndxlE0tqkKyF08AuFHbjTruu4P42a/Vvb7eZG
HmhyPs+qKGHWWB8QyrERVxiKo4xuh4T8/zXpyZrP/piuGj6XjS8jSLFm/TyZqj40hkcwNznR5ji8
Dpg3b8UozjMCzGANbEm9t39W4AF/qMrWzjm35a9BGfpEurk7go17DCaltB1L290cJfo1ACKyK6TI
1qIbP/wZLJFXluWjqCB75Pwvd1UQwC9J7IsGZe9w5fnGdO9MBh4yNgczJtc6E0uUmTU8CiGQumiQ
WPt1dA3wRT2P+uB1aXV3KhAJbfmn0U57R6RDuHvnuOTcyHefdJ351yliEndwtwOgwqxgN5h8wC8y
vFbR9BoVL00NEWeaGkyuSzMseSDjMtKRcPbDVG04SuxSwVU1Rg1Z0IbDXFpy1oo7nCtYud4cmwxb
kKOqDqTHV0nEHTT61E72Fx86+L03FgAUCGoiMcMU7+PYGY7qL+teY0UnL39xv8eqmNpr9gd/Dffv
TN3BBXPudG9l+TuKP00ze9dklI8iniYo66O/jWzng638q21oe5/y+TyHQHmRo4j+M5qLeZ90eJhS
I3vRxvCRKerRwhCu6ZDCu059fagsBTtXj/sgx0CBp1Vl1tNo1X9Sj4C0q4hGJP5X5fD05frB5JbZ
B/SifBtY9SUO8LMumnBiF/1tAqGErZr6ADZr6tDRi0G/pnBvjpYT2Tw4LXY90GYwy/ci/Jo/CH+k
D0tP3qYX5C+rFOKHzF2aGcxrgHv9UfRRsTL4Hjfc5vxxFfVdKnsTelBXnP4nuhrzAxJDtjNgGe/N
mPhwJYN3YMvOUx2m+4mD5rbvAA5Zcc2wNQq5ji3vJ7Cl+O5pxkt3DC/kQAkHsBR/iqDwrYW7xRnl
XOy2tggDlMSQ8+xCrgMawnJNdjo4NpS2HDziyYme82PJhuKE6WQTjb682im7CKNQbGQNgwxiwTFX
Dj302I7gvJtcdUQeJHPyM74rdMCY9Hzp1w/Sd3tjrOj6wWuoFlFReVBKsqS8eTOxS17h+d4JaFgZ
1Av7COc5p69ixaOGvqihDu6jwATvSEDZlV8ZN/rKzuy3gVmGZX2OG1Yw1JEv+wg/P5u9z+SQtNAP
LONWu1V9ygMTsy3gnVVu8iSJXrks1Y0Dc88TlnMhbmd2hvicrIlNng2/H2tNxzPfxsgcOLQ/9411
Lay4e1Rq2PJOjo6DkOeyioOLjL1P4Rfzibcd9tHPLqtOvu0MPwPZyzUmmBxpsvzgbztehAmhxqz0
o4gg+4sYolgS9gRbKo4srTs3+wLWz2VUNMRGqc5IoRT7tKODLUzc4mWIeNQ7bLAxY8Xp1ZK1ONSW
/kNQhFMqhw1PEFUJB7wAflIfCyPe95TlnnqvuMRVa606H0dPoI2jx5+3lNXFEonaOE18cWhF2ysY
gytrWkqZQSDHkXPsE3WpaI0N5QtG14vJB7fqLP9PVjkdaszwNHOynHOYtO2ARaeE4UYHpge36jDR
rbqBG/DIIbKtDc96y9nN7nPXu3mOTlYEYV+yofIf3SEbJIfzWopVOVHaGJspx3U57/xIXmnJNneG
VVqAsk913rdbDroV8sYXOyOWJM58KPqXaDHUMr/nBKcuQyG/JjtPVlUc/V78UzojuwswC7N47x1H
hmy449FZW+3GUGZwxI6wj+3RXw1Y0tcJ4A5hT38siaaPnYxEa4YaITPUIS/DzW076Z4mSRyJQ3JL
mC43s7s0s1JL46fmDz+yJMbf8Z0Ssb3psajvqq3ROUsHUfMSqoJkeON+y7F66vWmn6vP2nK6DRa/
977v30iBoO/Zm6wh9Is4cMa+9heAzC5Kgdy3s7Y3TJFXy4zVPiycv0as72Kkv1SSIu27KDggfvwl
xTZTRWQaK0VAd+tHNTtM4e7xjuFaNNrrmPXyECrzu9Qj9H7DB9hohZLOHgooyQqwH5naabM8E9Zu
L6hrnXjYdJ2vrxhbj+iE+VeRw2Q0sDbRm1N3MNLm9kThFF0bnCHz7O7o8kbLVHtNhXnHJOGuJUT7
rQchb2Nhh7vBLGiw5QAnkICIVxP+wXPW5Yj9LGzPvjmKndtzUBuIvXDerP94pqtWRhYOdxgd7tb4
cugpW3G1X6xhfKnbUp7J29CLK3GWOgMjUKVz7uGwJs6JiQN/Qq/ZC9juThnUkYIriSKju2cc3DtC
Cehsel5rK9JblU0u2+lAb9y25EnYJc+ooz+dLC8uOjRJU6UtzhIwRpz7m3TTcGvUZhi8Jl3yYMY9
+yrtv0ZJP4IcDG/Ny6nCpVZiXlpIVsqv9Csvkg2/Qb2VFoGBDo3o5I6QADri613Cxw/d4TXRzq5q
Xf8z0vGz3RjPsc1RXKdhc2igf24sWLJ9aH2lC4aOs8DK9ngCzpIPhr0RbvPsUM8NiMpq2DlJaK6L
apz3gKhZDRk8ZifOPwyAxLoaXU9cQgof6gnw+1drYYLsTRKKQczmzyhpUjFCdD27Ehtb6O8oqR74
9f2rl3ITzb/lyIvW5SG3zrENWW38qxf+QIOa85Wx6qgiSUOoHQWrPM7PBXVJWzm61YHvo9rgJwkY
plgwF5MbvcA6/1RkDLG9p5+4k59ryKKU1aXULjl3Mbjq1rR6XhWdgbZUE2LzW7UueW8/D1QORlij
uZJ2vRlVu6Yon1QlvHsi23EDTao0Bxd/l/dEKNOANi8whsgWDKInz33DfC/j+sjwTCWapsq1j/NX
nOfgn80uPRjtt+2xQ1+aLBvVJ694uGkJymqsVol79yfffMDyODRKx/RL8l3r4ZhzKiJNREsgoPZd
5kG544k772vpneWdwJ73wTqQd8KIA3MOs5wdeRt/GULsfMe5WCzVufUK4neoNkjOAaU93sqdk5Wh
5/QexyRFsGPQSbHNnBZLfGnLTTMtoUnHI3zC8ZUFMUV5XoTyWb7GCablIksoCS6GSw/kb0XYqzhw
efNQZQpcxbkh1rqxxt3QBfjfJfkDS3h/HWS3ndb5jzGq5DGbipsM8c+WpQwO5XzD0n1rombaZiU4
5joKq1NlkC3BxxldQTJMYFcA8Jb6pioiBCLwP3XTOyvPzT6Y3jHl5wY8A/L9ifnLT6Nuq110QYfP
NWIOht1f0NCIc4JLpowk395AJKAAzpR1uB1JWJhIlWtCUCe/mi89RptdXwfTzlDqNCpmOPD65xwk
8z6CN8HgvAtFBVethsE2JeQHBgmlpu9faA4Uu3oh4gSbEskOgrsgdNnhcKkSvJ0FLpRBe0fIt3S2
mf6WHBkPwQyXNKfi1WxFiNlxTUkpqgxKxTvvBDLBFkBuDKvPE+ivyJtRpgOqlXMxrNMOWl6Oj5aQ
DbgH+Bah0t9NmDpnQ3RvHMDLTciqcuzAzaU7F8zKltDro4EUCHZm3bKU37KT6Pb0pgKE4RopIvM0
GURLlZbD7sqDbdxyt0neezwIgoW7nFl/PZ+kiRHN1DeELQ0KNoYSLzHA+U39B+cjY4f3DQrJhB8o
DX4r/C5n5kIvQymq3ByxcG69da9UvbFI4eDne+DeFtDzyZj0FTG3bibhrz2eugHCVSp3OElmzIVk
1jrvh+uV2c73qFQVh2mu3huXkouIdZTqqjPVXTRH9oi/0cE3icTjEjZX3UxtqkcX7kqNGlkBfIWi
XpAiBVA0S42N+bMJSO7HwFo9PZWYU/LXbAitjUfXZTLL9pAwV1EHtYI8T9V5QS2lxZSfV+9ztzQ9
ZyDQXXoo6Ard08QpnuPYZBE/8+UkDz/Y5XOR0AUfPfwOEK/NKMMlUf6tk7nYuhk6Be+TT5NCRY9+
8F3d0KWoo7sDyGw1thY0ixL2i5FkRJnSHzHO7EPvsHIrLa6ERiIVZg1fp9Fbl9qvEnA0uT6ZOr/C
OneQX+ueo0PCfJeyN/KeB9VPING+x4leVR4+vmTjZSYQ/jL6liecjMCyPPvcxO2NU9ymRPJqH5HR
+ttkIiKD8/paWyXSvdswc6XlgfADwBNhrfxQHBtgtGCqONYGzQAezGH1H9jXsMGtSkRp48SZs18Y
s5YprY0fGe9FROmKNearOTfrw/+QdB7LdSNZEP0iRBSAKpjt85bv0Yhug6DIFrz3+Po5xZmFYjo6
ulsCgaprMk+2lnoLquyjK6t/ZmyEO0Oi8VfsEjHuwwkZCalYvtk+NUwvsO7aIZay0gju/rPddv/0
POAlJtdyBFd5iUPmoQvYdMfqzskQPle2j2LAbBtq25RLwgIyJwZm3GCwsGm6/t5WS0FjBdrGcOpi
Y+fZR22DFgQ7l+1hmb3jbchPeIieWirCw8hoPglz/8gX/zTG3XD1UJeYdRDeFy/LdoXStB1ge2uz
ndILbdipXvDUlwP22dLv5bqWSfuaSpZYJbklYf46Vm1w4tJvNsSqpduoWDwUGWzZOhL7+LeTrhXQ
R3ZmROwhRsxt5ah52+TRljKV8PSYzLrBLJ6gjchz7Q5XI0aq2AAWBBqEK8gxWjghZEIdgDLfGXoQ
KiRAfGOSPTOcX/7UneA0ywgLNKZwZ3dB82YgZVuHgYEuuUrcTeQG8I4ZKHsyxbzqtMuZ1wg2kt4D
ttA4+8keb9hdqmsS4wee5OhvrJR4WBSf/5WFHaO/ddprm3VfnU/vmwNw/vWg5V7k3uymeVz8aeCq
dF1Kl8681qSuHILO+DOLa6F9Kxm+wAhbFL6a+mXC9wFW/91pQNtT/DB/TznrCTs980WIY2so1rjL
tPOm0Nmk5LIBZ0vw8WUDskgMYqx92BLqRUZDwnztw3qYQU+GcHa3Rs1Pzz9mMsk+scNcQyYdKa3Z
LvHZ2ubo8SR1DbgS6FEiHvcCvzZrUwzZfXscevRgv7+gHn1bHHM4qFjFt4ps0zUXCDHOVpLcbFrj
hjWsTKBrpimUK6qsE1I0LbRNqkfpR1scv+QVp8Tm5COZ7crjEXQGKy5CATwGdAazMvgQuOBJIUix
dgN7q3djioU8kYl3NLPQPBBLGa/Z8uzHxbJvWT8+DbAU14zC80Oc2vC/GevxNVIydLi/aYiMR28p
uyM66xMMIxyz5JbvycIKwed15qWswzfUBPF/80RbzVQXwpIFP51Z/b3ySD1Z+unEUY0xVJjTPl8W
5tgVYXpVnV9d04yvVQJxzwfhyRkACYdUQoQ1XnKJyUOzFInxnfOf1YHmB7FMEG9ogQqOnOUq0+qp
Wnpm7Ujwl0KQSp/FD1NhMYF2jEtX0BtIuIBZt0cVOq4a3RBZFdhzVffu1W+oDcykfVxKKz51VvWX
U9Q+e5aFOjLxyRtg/I3TnPF5Yf+ROVDChrkD4M997hJd2BqZWA+4r4FlGd4FqXv/7ACN6YPm5nsO
7TXZWWubt+76+0sgS2PFHmU9GGiKMpzct4KoY9sR/XW0UgPz67AJK2YLYZ3wCPqJzCKXdr10p/c6
dYxDZBNYXMqWKxNJnZ2VV3BS0IQYUAVBS1NjszDTo91OxuAgQ/ngV7ngVeMzqUQpN7IICQc1mNry
Ye9z9sOHniEJ70r/4jTqJGkt6GsBC4BlB9Hc/BWtvVNz0z3nXUW+sSQStEERHceZxcfGdL+MTbGj
JbHeEUesi8XaI7oY3rANx9usMZmS46c4Jyihtng/LUTYHo6HKPMO8KCttc2beZamq6G78msm5Nkg
7Nlm60N8O/LLwNatNkMMg1fRAsfnEhUdWsUD8A0X2gnf3OC6H+DHHrEfZAAylvcOZCls9q0v3RsE
LE12YPZScvgMOqWabufcDO0XDa9LiDUwlLcwBiIHFMWUpFxThiMtbmiVdQJ2qrIbfvrXuSUbO0zB
GuQ6L3swevajZnoJk/KO9YyrdeICKZyRtDT2evhfnJT87ZggbsrTo0s9FpLPnRLU7erE7tF3WOog
mwR5AgBI53rXSBw2S+L362j+h7AOCjUJOOuQNaWlc8FznRBOvAhPI/5hFJx08kUO1atv0is4RIu7
RIxLnTVuEDpe6vRxE/VjEZFH3plfVddNJ5tecjV04tXXm9upNbZeq34mQs19ZNRuJd7rafxrEXoe
6PRzT+egT3895w/h6+1uICQdLj2igplyg/R0zm1jRR4sSdREq9fwKNmJAfkgc13o9HW84FxwBLLH
BLNnOqF9JKrdRUui57GHTnUEe5JsP/ICeDOCEsA+C4+Ue36TdVw2xMCPOXnwLsHwC8Y0snXFlbH1
xCTQZYsIc+aaJuJPaWE7Zggz1JjDqYUNwAF3oBrjofRtLMooHNsO2b1r9m+sOWLwkeJpQZMqUiSX
tFMnU1VvXj4u+z4E/TQlHVNxvGbmjPcqMuFxWe09tqt5ZbTZK9qPiKHcC/uuZ7xTjxK65C5se+AA
87MVesDXO4afSWx+mq37MoroLH2QsSQROybDJm7OZZEC2fOuN9BmhPlHACVs1ZU1roWO7m4ZQ2bk
Vljr02UnDKq8pV7i9TJ0HTAUXTlWLD+Fnz/kPaeWmOnmC0qvWQYvrf0NtrsjGAedaMQpHrbmnwQu
ikcs8Q7j+d+gcLAv2opIh8Z6werR8/xDc2WaFa4eyfadnhPuQY66q0ngGxApAoiKrIGUmDcMU8C+
4eA3CycedGBc2pOzm2veIdzmL4VvvSaWRSp6WIUsh7GfjTb2tVhiN8yZUoe8SSvfKldby7ZPfGz+
Lgln9siaBLT48isW50h3zXWTXiHiModmAV11DtlK7YbhzbsIdTZqyGA/MiEmKnwm6RQyOBv7T1fe
APk1qyjRjAyWS2ujQEuJWDve+oRS0ldW7y5qsfUYxSvULv8qrJlMXpDBgnpdhUN690QI9BA5y5A5
30aOKzFCKmWn4tb3zjVVu3T4qlrksvXypkTqXH4Rfd9pAp1ZOZBKGpX+lfAs15WO+jCa2wLj6uA5
+cPi0w04b0GNTAwE1Mz4FAv5zPoHh/xuCmAzkB6695fwdc4VNE5WNXU4GRuBb1o5kdrIiiFn75fI
L9DvVtAfgJy/kBazdp+A7vCmeKd+hmnhFVSAITfH5BwRY1zKMH+eTbIIAg2EW7CwVp4itbWEph4T
8u5nTbhDh75GVVWDAKn2wCe7HTIFQUxltc9IpiaGKeFzb+XObMr/EnKU3WV86MqR9TI5u2s16vzs
AQyNGkcUURb3ZWR1WCKQ9tD8jOyGHURV3hIfZf2YBZIVmw5+YxW4JjwJVBcSoa210I0MTSbOSWSb
m5ikaxAjpBrFJaI+BAPyLULmN+JvQ4T5jJ7rulSZPIRAVNZRovy9Xz9JyxxfawcrUEhbe23ZkU5m
qMstwmyywDxM1EpCdbzAod+zJtW/gATFYq7/nz1sQJjTaXcFGXzdQKrW7D7EFdUXcb+aJjW2V88e
n1By2wfL7nEbZfbzxBzmLnFf31XLCop9U+0n0TVlvbUHTjwxnLCtS8X0dFgs82kaESU1S04iSknZ
NTgqRigdHv3Y+Wu5aBBQX1wFj3A9jhhjUc4suGEq03qkT9sSm6wTnuRDUi+PsTte3IaMlBi3PvoW
WJwuGPuF2C484A7kYK089Ll+sMaucTVe3DC8LXRHawQPzSULWFLnuXu3A3sm8S1QF7UnLPWEbmrr
wj3ZuyNj96FZ+vUA3+CAYJlMVXVWOJB3rfuVUvydwHkcyqJAFriW7khyGoHKXlC/mQSb5WEfHrOl
/87N4uoKMnJMYrVmpM0H1kLpgwJOzVHE2w5iicOvz837ErHYZWt+aFrZHH3qTLfIY3YVuaXHpFze
ZXFmZCJOWVkPD0Hq5bxZeE0AXo17r03qnbfYJ3+w/Qdb9Po9Jda2QSgSLRNKgWTcpFYo1lFme2fD
F/1qsj13M2G+gPE321tpFkwCEUHOIWFb7WRAz5/VuFWetRwmWJWFSNKjx11XKtdcOU4dX3yfyRhf
dHAwRP/lWM2hRS14M3uLJcFiXiEeiN2gzD1YRAbVmtmQjkiWCtM9No5PbZxoeX3bHwrHsk68Zc0J
vJhop+qSwv6v1XCHJtTcsrQS65bJAUEuWOtossgJgka7juzYvviL++S0bfVQ6WDzxXUvM3/qPzFz
INsWcIiE668XoqcZ5SGAwRvlx28hWWcPDt8wJ72TbcmFZZmHKKiSXnQfbPOjKFpzx7LvOUq6+aGS
IbvqgL6hs3N/5RQ4wngOZ3PuTlFt5ptS+t5DakHnHTByq6qo+Uw9skKm6hleGA4f393lsuWLshOS
77J4N8RBAQ7aijmNDfPolSORsl6EOih4lEgbMG+7bx7x2yfLKa5lUrUvpRB8su7yJueeUwOF47Y3
F0Zo2lwY5SzPwqjqdz3V5bnGpuotjn+YbP9bKGH/yf3l5hOB9zduWRYmYuO5tgZYJ/IKdoX1TzaS
2jNW4bYMi4+Zm8wG2O4zFV9U/s7C+T2103InqnwXFTNIsR4AG/6xSNc//9yGOaUXhfeOdDkEff0d
Jg4zJJcAEOQXwQYEAUAjMkWh37gb/IopdqKeHsvFUSXBc7cLq/l0yl8pbhQpZF0PWwciZDca4gmH
ZM7wye1xSOFKHdalx4AwnqOLTOZ5DxdqyHxnVREzmhYdiW/dNB8kLVbWki3UxiivbLmrDIJO8A+N
BfXhGNub2tgPjnkP57q/NBKyXzEN19IfXkeZyPVobYYy5XAjI5vDR6yGNvuKHFucrWM0w/FkA4Ug
ARUpIavYxYCxkN7aJOq7aSfv4EcYHcWrbWabKF3koZKJQ1RbfkZ0VnxsWxkmb3y6RH98ETKafnrE
NpHLDk/VGq1nlbhyazVQOPNZWGvCm4K7IdjbNRanaWGa8tDx+faBHVGB9OORCuIlVFaKbKXPLk2Q
q0uyFCUtVtbukyQkCmWay6c0ezfjV4ORZ8Ru5ckSzd+wgdCMuc7h1ZercfGG7eRIZ0sBkexlITUy
BMtTkYPDaucILIK+teBPUsN01IkJk0KaqKK69L1L3162RLsgMlvbiIDS0bcewBtv7aifT0247CE4
jeuunM0jkiTiSMKTKoEAECJxFyk0SjZiRtrfwqWPnqBK4Q6qcjIQfQ/FX8xeAmeI3ng9/P4/T7tF
6FETknDas6mdJCzGPhFbxnt7ZuzRNVcXaXGO+QSw//DsYUfxsKXk2p/CeOoDrF1+arR3JdAulgA7
SzgGD8COt1gCcDtV7nBDQUmrOxX9vbP+RtoVE2h/TKydMpH2zLTaPVNoHw3MBnT3OcE42mPDyqi6
M6GhS9AOnEZ7cTrtyskj4w87drWBpNAcRqw7S4kpm5hdrc+bLhEPUUk0kIFJvaOdPxkWoFZ7gQJM
QYN2B9naJxQSrsjiKi6u0nLfsdZD8FPUDmNR7zuSEUml9b5irb7BpfMWlriRXGxJgfYnNdqpZGvP
kizAgGep5Z4S/cvop9BcQut5wef6UGrLUwRzox0k8nS8e+ZoEZqDSWrELIXTt7mb2j8lMVIl2lHl
a29VoV1WHTI5VaZ/bMYwq1w7sbxfT5Z2Z8FtoQfQji0T61bcj97WwsylMHWN2t1FjsCno/1eLan0
JLBvyUsnsDj23lvtDZso/l3+1SmmsR7zWKNdZLH2kyntLLOi9JznGiykXWcB9jNWmzH7g+W50860
oVHMK3ALCkxrUwR2MEa0RSRQzywRUMvCoYfPLchssSoEv/t4mNmXtlveKyPltCXY5Amoe/RlTizS
2ARn2Oggm4Aq0c66QXvsBAohYQDR5Fw/TNjwULzjxyMnSPvzWu3US7VnjzEP8WTax8eRs/ZqnH2j
9viZ7TONVvriYf7rf12A2g+IbBclDBZBQ3sFE5wUvYF7cNE+QqZmw51e/ZmFTPIkMRtyALTHQPsP
0TaJd/x/wPy1O3EYzX+lKIpTGljvBqIDbwXBIt6ECXRLPxbpjmBNfNVTvS0xPxraBWlrPyT1a7yL
sUja2iuJroJzH/tkpH2UrM5R5WtvZY3JstZuy5BgbaH9l0q48dZuUszJmsEyMk4v2RHJeCi3FgbO
MsLJGfCoQCciO0wMj4hG7fiEt0FCn4ULVGEHNSJ8oZV2iHLT8tniGcXVad7Zb1sAK3CUFtpbGmuX
aZjgN01/raf+edBO1Mr9zuxgAksx11fGCrwzlHorZ9ECIaysM5bWRXtbGShw+Gu/q4kTQWoH7Ki9
sBxk97LCHZshRtXKqALbLNyF5LnTTtpMo+Kj8HuU6TEfonzXVYQoAuPdet17n3fZ0Wk96lbC660R
tvFcg4HALEKi+bywEARp4BsT8R0dR0JqEB9uV0eIpG+tbyAb0Lm0xqe1dJ9DVbcUa7hYwtDN17H9
Iw0CPnz28cQ6FCU7bq1iSa35sdfe4zh5jbAi18PV1M5k9nxQzLRbuUoLlkdN1DxWJp1J5jgQQR0y
N/JmPKY2e6HuizBQ0ORGAM1NO+c1h0X1iBmnEHntSN0Av3JgGEs2CQFHniW6F7WAeQhDOZx5Lzvw
dNBolbTqHZS/Ufq9dsx/KpvFiJ26zUngtNCEINU6NB4+OYwEMpF0OpAC6IAdIEgHduJmZOgOnGay
N1k8DUwW6NbgwrOodNBJoyXHv5h9wuLi8x2XlT2M0SZz7nCljvlsICho1gGxUw21tVWcWGy+Kjm9
1NOAprpnyEpsSAFNCEbTA2vblybIEFgMP2nmn9I8QZ8bAsWySL9ihMh/LjA+47g7TyRipg12hDxH
PtbijVsTvvIy9iz42Nvn22WpoSZXnnNrCmgKLK22AkEnIzKk6Xobd6gDNDAB0Uk0Nzm2NYK92Y7a
w/E8Z/G74ar9WFxFUDlIssUJ56eF5QWQ9mR3yDIZHoPawZ7OH9nyt24/Rn+wwNRzfJ/cYYdX+JRk
5WOWDEjlDZuN3uw+g3w8lYinIYCNG2NQ9qX1CECSYpk3dM/qocIjFkuveqply1yOYMq/VouHLpFy
Dx/A3i8pgRnYmuRaafGsJZv+5qO3yqnip76YjukA3iSrowcX4Y7OGF12nm2GDxPm+hLGEAGZLn8s
0nBAXy9Hz5ppLSbxYo+ck1x7YGhkHK9MAtjHvje2jRMdkH62CFozcXJsecxx3D84JN/BjQs+vM5c
RfkGzqJCBGOUL/ZQbRbCBdYuEBk4MGZ7XfqmvRY+C5d0Nv8iMaLUbEGJ9/bw4cdRv6rdMD55ZvUZ
tH676XpqvQy5K2aUMYMzUsNwHF4ELeS5ZMhxLJ38K8QFz9xi/ED/xES9KhviArm6WGJ+xCi3LsB2
IcfIgZ1cGD7+/sLPn99Wqn58/rduJbh6zqMjzAXnofAvOU687ZSFxiYhJPhAENm6R+m1pWmY35Kl
/OAa2E15Ob0qpU4+Vdl5zCJaQSFJiiifKwstSDSZt4AVYoqw9QFNvLXCwGhffYsBubeMrI/JSd8Z
Y3LqszC/GYwgdtzNh7kb9JgB/NMSxTptIQTSW6uSKgKrtdq6CvKplBUzpRBrBhJIk+ErOsnFa6b9
1IYvfi/khqWs8WypnsiqaWj2I+6Gu0uoCZPbAOW/ssqDalMsbXpVby31dkw5IJD0fZitGlFy6ODQ
UszaqO1eJmKrL1PH5C5dCHwxxq6/OAtOoGGKSfkbTxGmPWJsu1uW2T/DbDnXTABZZbpXbAzQ5oIl
FwN8AxR0n37kddM+tvTdjr3kdytjO5MPHd55P73Nb3bkHPGcuV+mYkslYZk7FG5HAl/ip7y4ZkpM
t5SMsWBOgmOWkrVBxk14KVqXMazSbg4jczlDmA74gRbcjVG/HWY1ncmTQIyCWJMV8/LQLcZyIrLy
2euLau+Yfr4TTkY0aFz5q0G2sKtJQUWaaO+bON6VmFSPIZHI+gQ2Y/PFCkoXJCprL6+Iup2VRf+x
57l7RegcM9Mlm6Ra/nJy8spDP+RRMVIdbC5jDNyWBa2DsS1a/QTAXXEYsKS9wOdw+Wm0G6WVZW3F
Y/RdB4WO24iLJ3xCCRx1NHGe3X9/QVv34ZDexZEXTZsGWwmTZP4yVqNzqI2UOXqynAoVR+TNtzfk
QfOZnp0Rlf9tLRVSCLul+iLp+5xI1EIlKMQ5k49TxZJ5ATOVDd533ncGIJbmtXPxlNKg3aSdu/j6
hwlVksz2ceJ/kvdmfWX934j8Vphk2VuH+w01P5+PBeDofUJeE0l7/jQzrIsCfEyqIpbBkrq2HbJL
2gJ0UT6WTBbdqmDobkaULJGTTw+ZV8uTdiUtTZI9GKFdbuOc9ldkHcG0gDJTyY/amKh8k0buK4+K
yFXxdaZqXhtNA9jBZFbX31UPsx9zy7FwP3KrxRkY9gQ4i5+oX9CKFjE9QXHsZAbNm5IR/5nLgpko
8/hWtKgugOIGJIGSHpFG3d6IGWlJl4C82en2ONHy9ZT+I1hnbxVzuqFmarcVZ2CJmt2mqSaJK9my
d/+StQvNPBf/SKTbG+NLNIb3YETD5GgPzYDZ36iS8N430riNRhhdJxUgJCQ3XfEbXpFnyQRUAXFK
xEEZzmcjpIElkaw/gYC296rP3ykNQq/hGqX1HZXBfCDRwaGgNG9+FMZwF98M0SJT9cGClqr7CKgp
m4jzm6+gIJajxuIW4UhIE8gJZG05gfHh5YyUF6zm2J89bmvTkuj8Wtww4OshDzcJFAXnxQ6a8MRK
jtI3U8y87cB7kCClGGHB4+rYbslkVxIqvkHEyUyUbX0TNGKT4xPblaEsrmEJezG28mOdY/Dumma6
xyNnD+oyorbQnxBhRKIAEaFHcyJSmdEe5MagyI5VzUqqTkW4zaqRzFLwmo6B6hUV2r2qwCDXpIdU
+VCvjTp4XwIkZ3WowOWTKM/D2Q4Gi3qrwP8StK9uGv+AuUa1GUmC62h1ERLo7gP6WdQ6F6AzGnAK
Jr537ScGA+02geEHOePfYI/vfXM0TO+ZkDuucnt+huELpigKvhXaXXdiwsIks9qIlL9PjsN1bJdj
lg1nE811eOsMCdpQpy+M3ow0hCjNG6r9ce+Tuq7VGdwEIWVYb4uPsOKPWBHrwCgFKGdApFpJmiHP
xeS3jCY0dkYgMfBa17OfPJsjCw9SmLrBJws9mRAmaQdgPjKpbNr2cUx2Qz89xX7zN+ud//JkfAtd
dAhRjJ6+A+xaIkTTNBIvv8XCYTrgWea6IDG0BxBH5Annkbn8EG+wJxTwX5AQ6YP44U2gcyOB9EG0
w8UXrsnpEz8NwZJu67EY9yOkM/BzfDAlYVgBxHriyTGjUFhKbFN7/QzEwB+rdEfUxI5L1GAArz1p
9B8j+mdWGpjHTqQZh/EcFiAoiaBl8xA8jASkb7uOOmksE2/lzoaLy2QlQv5xF+U9mH6yiYBelUdj
rreJVW/duDegsbCsKyf3Z0wV/UW1nIwlcxFkp84Whu25kMkfX44FE2y2Qp6RFacOgC1gfEbZhKxu
bJemtHHD/Jhao2KHXr83oKQEROsuqcPtFCQQoUlsLZlFAFqkp0uiasMZCQfO2rkk1FTTM7Ghk49d
yp6jgQYgRZiYGpRflE+5R2xIWvXX1vwnCzy2qI3ExswbOJVJeMvT8MfRoXNZpL670kW/4mEDdXJ+
RoNkEO+juhuj+VmEieJ1s5+7pkCgzC1oleQe0Eno2CyHo9Ivb6X3kjfZq4p5yyz9FfRO/DOaAaoz
CyExo5KJ74cpI9OojiED5yM4nx85xy/IaLG/TNht+6lAFlvf2Mj9Bd4kNm3d50TUsvnpSZhq5TOK
4PwY/NL1i+wTr9WT1/jikLYfTD+giSNqBmeXTujjIL/EwiQLNhGA+YubBfs0AtlysMmDXttYKZDj
mm8AMnBALzRUYdHeDYa6G+y5mHs9M1lZIRMYTxm3SIwPlSaGu1RH29lgvGyx1PbpRNb8bOEJcaFO
Qhw66Ptz+D7j9137gZ7fDBPbq8glOmsh6zjv9n0U8rNMUfOxWrkwGNxWvgITFcMzVFwca8ZbLKhW
KpB/vCT5nuqCj6yoT95Izcs3eQuM7tsIihdX//hKckbbqW9vnfOPGF6iPicv33roHCO11OvCxDKU
gymso4ahVcBJJslNqWx1XQLWlcKFltUWYuPWj+HUVi9ydK4LvMjFz8nj9AGHBR+G5YhLXTN8Rh3g
78cmuhq5455NpmO5TVxXmZ+GvEwo2rAF5mlyy6rwhBJQbYRZQgU1s2pLY4Q5pdoFNq+HElIcUMqt
hcv+FjdEu6WT3hpJhHifoshFtWX6xjrv1b5uynCr3A5BIuSJIsXti+0etEYglw3ZFj9M0lji/OvJ
+sgRLO263kMSUjlPBe6CtctAZCU7d9eiRNlKwdtRNfl2Dtl78Z0UO+w7q5qyd8XOAQlMY5JH5rSr
aayQplvxO/LdCP4cfb4IncdxdolpJWUwnSo9nADlO8EOyuMExWrFnKBo2I3FfOG9jygsaLtzWLEt
mVuPuGOHJ01tTfvTgZq3o0M0wyrCMrKxF+5ZRobr3hLqgDmxWQuLGK2A6GfklYg5ik5TpglJmzyi
OuzOeO1rznrWjuleecrccRHWJ6d4itkT7eImQd8lkj/svrVIBGsPmKRpVZt+C6MulogcnafBLw7I
exjju9x8NtlVOO+woUc/kTIko7LwPk7RN49CbFIOQCjPyFvDBIBqHTBBrRyUH/qjafL+r1mOe7I2
/QIhsZnMWrYfLIzzosc65IpcavCQNryUyfLS/TL2E6JuGyoEU9fObLaRf5Z95DzCleOWIt02LXsk
544xU3ORou11iWL3vY3y+rNzevtOubqbS6WohBW6K3zFlVOh6saavvfKdu/6BmkFWD6Qol6ywfow
GI3vB4rSVepPGw+31zyUR/Qkz6PDjvg3oG0m0ArgREW5Y3unVMhXcjw+jarZ4dUZeHXqLy8K/oCR
sY+2aX/1yr9PxECtPf25/77O+r2GPBytpWqGXe/o+jacV+y2W3DI+4RWSje3jDsxqhEjp94oQT+i
OP5uRPKzTNzsOcjjTfJn8furnmRSTDlYi0BbrqOFO1SRuAg9Y6l9XIstUkZmTdTX0CBbnrpLZkRB
9NxUj++T6SHpAkAbjKNkMhMSOWeLZ/pRYlbNYoOUN9z6PT98wjtOzKY+jIL7V0Zs7vxp8tAYLcWu
QHHgD91HGUzvU4Tjoq6C/6ygx3Bhs20IK37LNfu3VV/Xe14Tf4MeopojQlSx2rsL4MR5xJIEFwJ6
gKTq7YEjhES3r1XMa93VaPizNGdVjvcQzg+2O1LN7yP23Jp7qJtQFTd9zPvGPwKBz1uLWrz81gRs
aYlE0a1r43Ot0FNTtCn+VZni+3M7PLmoLkyP6J2Q8U2Y8R2mhvE0mZS9PhLwrnCmPcN7Mu8bdKOL
Q4yKJxyuhYynFbKYW9kZ1oPt8B9RA2Lf9jJEpjHvf2/lMpoJg2kgY8xIOZYi2GM4TdZmab8YXnlF
D0RpqcjPofKtWOr83o5hPjDjdij2GXKrrWk1n60X8XPleMgp9ABxnOaJwBuBQCeO8584iLgGKRWH
mMPIbMUnRIS9ie7C721MfqxCfh+GHQQ/NKW/97KRNC4f+cYHDLMNPYvFNiVa6UHAYFt4TEk9i1It
Q56WZm2o6d0yxqvoCTNIRLbp1WBcU8l5tLTYe3Wta3B8RPWMjIpzqUnEuzNxyfeRxe6BDr06TA7+
mMAJjd1vR24NXXDpMvP2+1dIieABUOiCascJMrU70MdqBV0dVubOtnS6Utet+7k+BTWpMIbJfzNQ
48tMqsP/67wZ7qKvlurIyBZVposiUZU7r674oZC8uDar/ildijupWz+oroGt5Maxj5iowATi0mEl
jS2eaEpC7qCAkDOECW7VjESXUmEm8/K+NIJlQlOeR4rIjQqZdsTFsfZwfcc2n0RLsumuV8eEm5kN
BKc8cjMa/6hl1snjkbqqw3tODKxMuUNKhITCNW6AqX8Mk8OJxBWmoSbLZgP3GHZOXEBu7aK95Ixb
/5Z4qRBHqJlY/xF7A1FGJ2KnLAEb9Hp2AcqtEKSJpmtKX3R1OBxgBBDcCYKx9vawdVU49KQATu9p
hd8Et/12kHypnXz0/AmYD2JR+lVj0wq6h46OoGhCspaKbo8g5Eeq2l37f5xweQ8jypA84KCaQ/8J
u+stgj3S9yV56ijyJos6u7d12R+wV4VaDnX3NQHZlHpMC4imU57xbNfU7YaidFERz0al3tnEJtmN
1Lgwn6I1Om3GiPYTX8dDB9Jla2FG4mY+zhXDfBR3mxZwBHIrxP4UhTtReuXGSHIWfL77VKtM6uZ3
4mBM/DtZCV7hZMc8TT9Dsz+xdH4vK2r5cATjU6poFxoxENeJaCZOR0/xInTNPR0h5g5M4DeN/UHq
XsRGazXMA9PThoLc8JIfgxSmxuUrCChqf78v8ipXTDrOgG2xIeDwYcK21Z+Eom4E1jf9aRN05dIj
pKy74GXjPfF7fsgdz22wuExjYiiREzKTaIZDHjnfbUplvYzdXYx6nBTx0mZV/PN7w9YGT4HNO1QJ
pevqqYaTMizfbkX2AmcookLKQyxykJmf/XygTq94vOgIafcKDkW4Wz8MakAIYIWvBq7LomVdPZQI
YmbJdebxNqynkpNmgMi4wudusNRac+/y/MgyJdrJ2jnxgKMt97gjdKfZpAAFYLai7TZtikwXrYVN
up8uirs0fihrckvGLv+XM2dF8AlqHEg3F5qPE8QDQLdih5HL+b3y3XMg5UNtUZ43rksKAJsjUPIU
HvztYZHN1vbil1gVmBT6dzAUlwAgo0a4/Vf4hP8RlMjEm+VhHk6nhLeNvmFAb0pxBaql3co83xkR
IBrEVoDjGCNvS0hJkuiY1eiwHRBjwWAeR908LH8m8pFJW72mef6lOsHEvGCViTJvevHVQzwo8h45
CLdjGH25Pm8jnFDEpBioDipNt7xE3wUxI6smJd+gwGdWzHxN/qjOfZc9L5LXaojhQZHp4vy/ZU1p
JZnDeOizx/ShnpY/OWS51VJzOVfBjKsY5sSauwJQCYDRAOuYnQ7w63E/bqdeAPGebOuGFZtbk46Y
j/UtVyXD3ZHI+0iq4WBEg3gIa1K20uXVU5a/adhyYYeknRZVdOar+n/94Xo8d/SPJBD9a+wzp1+K
9Bb5f7KaFH9Yu8ooJKwjqRm7yGmW41ThAiIcAndYGxmbTDT8pXDb/RzzQxgD7xWNwcQFMD+rRu9/
Z3e3LMlAcsCLGOluc6/gGbYdHKMB3lRt/6u9MIVEwdkUW/9j7zyWI0fWLP0qY3c9KIPDHWrRm9CK
Oig3MJKZhNaAQzz9fKi609W3F23d+64FK1lZZDIjAMcvzvnOF4A+bi5sfEzPjnEM79yq+isGFP8x
oMAiVvv7z4cUgwPe0n4qGLq6LIoZSylkAA14NHf4bj3XPIylSa1vur8Ret1wO/c7YCOrVPaMwmKD
dKeh2SDvo4pQtEzQ0VnTkGKxxxL8XMWG4ByxrG1L07WOXW88xk3LNVdV6D6FEk+kHNBwCqi2IVah
2KxZuvJcavrc2xtG3p97In0gwTd3oeAkQ6W1H5smvnGDidPe4qHvukptGbv5ZDUQ+OANPOYzQmpZ
TOXhrmsY9Qx2w0o8wVg5ji78NcsTW9a96a1FR0jW0v5/2ZxFF3fTdap+/9s/Pn/lzBS5uJr4u/uP
jE2Bld1yJTDL/wLP+Zs7PPuc/gXO+fcX/sXn9K0/XNu0pAOC05KmcviWf/E5Pf8PWLWOwxIBdddf
v/P/+ZzOH9SAQD1913Ok6/j2v/M5LRt0p2kLHyQM2DbXd/8nfE5X/Sc8J+UsRFdpm77jKb6Z8v7x
f6rvT1JHw/bf/iH+L2F2nWfnrkOGpH9tsjhBC6VJUSlYEo814i8rhdBRd/VPpXsUwV4X3k+VwCeF
YJB0HGIhgaqpspnXWOUbQg4ob0JfaChtXbQD48SUMI29m1nLj0aaUE1QtQOdvMTxxFqtna79nNm3
9cx2PWC2zAnLloCXcoSONLwzq6chzkL3ZCS2g7ALQ04K8hrKeZIf3Vlv8o51dlqEj8qM7TvdQ9Fz
Sjaq/ozZD1NcWeK57e0R0FADOTlAEdQQn3j1nKwgKMFR52ounNc2IKS977pN1BLPwDb0yTeJrnTb
Fo9uAlAH4yCO8BFfjeF9YrQa75Qp7Hvhhc59WFDmzE70wpa+Pcfkh+47xtY35oze9SR5XmIkpO4x
F+Wkg0hi56aWeWuyAMakBN3nz09rzgYQjQWLi0Wh2fXj1gnHEDmP7h+xPqZBjmm9HxVD5Na/V5H8
jr1tk5Xqu+wjcoFQe9078bQXcP43BDXkEJwoOfIBr0I2mj+qhKXZU1F6ZnqBALYFMXULmCY51j0s
ylmqL7Nyvuxg/jWBBVZYfdGZMYlOX40IIS8CljfcI48datyjG5nf8cRyzpUN04P6tq6a8IgRF8wJ
CczChFlRF97jMI/Zek5f/e4xmJNNgjfaRTaKss44ZJ0kWdolBzkbI9Y+rDfXLNlAN3rJXUgKCxuY
k52zc56T2Hngf3qOmykC3VR7t3bXs0poobpAyibylxgkgszOkxPBekhS+uHQHrliKGtQ5Uxs0v1w
Sf51d0H7+NYko/uSRgjqlcMu2BtOTOyXWhUrg9GMP+7CjAOGhLSXKqkZXo2CEZfhmEcsXM9ew294
35OECziZUbNzF3df6+N8qIziGEgwkrU0aayr7tJhS0RTXrTHfIXZ1iGpxpixVAbxevCb7FQWiPli
dPVlo+djt+SiIrmAAIoIVIvxbNqM8TUkzobLLUn6TZLS9A6flrUUlYw5DDB2FGNEnRIMgMmgn4P7
Gp4Na57Ww7JCyEZuu/fjuovz/JGYAzrYThys2JpP6t8//P0pi970SHu+9mmGzgBO2YmENRPfqpYV
y7vQfLQGAQS1R/MSEHSrf2aiRN/rLDQPavTBf9cPVqftB62XBVcEGmEYkRjHrWldZJHlR6K9L3Ku
C1i/8lPEQ/ibm5rEKml++GlETkhlEY/QzsYKKwQ2jZKABjOw+02TOeZz2tSUCm73kQeDvK1tjq2q
N8brAC8c653bfo5mDq+mw60b5E+tBNhoVIMJbibKboUCfqYxQqV99woOrUaC7ccr4Gj6qHAAHZus
+ciQxn4YtfqGj9jc9bhzXMduH5OMzbXNU+AkZyTLo91Nh7rxHiIyNp6wYn8nxtQebNf6caRTyNUs
63oVGBMglSziB/SwJfjlruqFddSV1CeMIuhw33Du5FhyMm2j90O5OFbJb7B/5OcWDNobcmn+/MzG
aH92ymlZOQUOTka3RuiZNTAb9w7ZOfeVmMQqIzn+Ovjivdf+Nuwr+coGmOGAKKZ9Z3fzzWjav0pH
EERcwajFkYV1CZTPCQt/BEECw8Ppz8///vDnf2PHFq8gt4aHiV7mvu341LSaCFqDJCqldcMrdC5G
PmjLCG3Sm5i25/ZP2eLcIv1SGFUBchR4uvuSq9ii5c5YO9fK2fWF/9zHpM95LrLUUFjXwBnWbkkS
JeDAdovnKCedmOGiKqb+PNkWs5aY4mfKhzWxFv0t4eq4+GtH7mt2mFuf6Jsde+cNrYR+R76IjD6v
PmtZDtvRTaITsrLx2vvOPUBX86h0rPZBU17qIq6fuT/yYz7mv3TXEFHlwW8qrOE4krJYLCHLTWhg
fnjJy+ahjbR76/v9b2PK3VPRkUCAW4m0Td8eD6kbTq9ap0i2EC2Kfup25MALww635NWLFT6kcpu/
W25sPaMcl6eoC3dh5j5N3QAuJpfPbRcyRi85iQGy7KTD3LnCYbMbs4aBSiWPARIvgwYWqJY41tbi
k/ZbjJ+FW65sjy0AWFOiMJHKKTbrk+qztVTfaqqgUdQ8dIsKVynJA8EJ2Sk2vfIyaRLTCRAH0rOg
ZNzeRJWGnbKfPdxb6ELARIFodOBdWkhCD7awI6KEO1APPOH3sDpWSM9a0h5zRh0+fBQyyPMbLjWU
U259h4VHPMbZvKk7JIMtp/rWgLkMmcdEN/bXh2nAZj637lNe2E9J5Yw3bTmMN1PhIgpoAMlAvsBu
5qCAdk3TwAiESUCzNWLq35EfXXf3ASqQzsT9XQTTZaqIRSJlWF8CrxzhVpnoORa6EG8a2kFjuvTD
vI5oVlE0clxPU/2Do5m1mz1uTOk3YIiJhxkcs0SdkLwZAEiPaczTjzGNjqN453f1sTNntdWNdzeU
noYzxKo1O3uZJTfGZC+lVfWZ9PY1bWsyq+YFHqXbj64gwGGEt9YhvMGlUdyHbMa29dQy7cGX5I94
lknSYWp+57bmS1QKuKAJmzFb+sWtQGRCE5Ovuwp9VFvQ8IYAFo6OYWgGhipejw5NjJAET6UpRKmE
wyQJAjLv0qHdSBJUTj54WFHXTO/qi2VlD35QroGOEF8Ro7e1esE0YQq3BpCIYvSSPXPNZF+NtKEp
+dvGzNIQ+O60SLmCBorTFDDaoVnbs5TEGWOLgp4xUbvOncTNpLNPw/dbBIpohkWgkR5UwU2FyBuw
ODoZZwLEkZHBYs6f8EEd6A2yXavRc1YtOB44NNizEggqx6lQw1klwLZ5VjLsmM17Y7Ff2my+N4MO
T53pceEDftm5RQ87ySLWQpDv3RK+m0/WkjSbn3VbvrbaCoB84I4pI6M5FRoxVuHdTnY072jjSHCY
q03hYqKL4mhXSHXjlVO5dyyxZd32YbMCAYCS6o2N4ooYR972ConyIIZLPyssDyJ6IPtrZt97biwC
rfN+JPWhw+kUZWJr1TR0XsB8HdVwEvFdM4CXe5ORR1bV8TEjWQyxJ0YILwlfJJoVa8T5Qvt+V0bd
whNxXxs77h/Gfmv4zYs1tLcO8GTISoDkajYYtOf+TrZOfOb2e69CdIlM4o5lFBknA67dpq1qnL0z
lUoyERTUSpKTkTSThhvCeffSA9rD7uCFQ0NJPWMabYJno11gHDoKGTC461o6B0uRAoktHKBu6/mc
2lusJMN6mUXVC/rdrmsLgbCLjyFTvyPMBUezn5P7ep4qzjtkIP67k+m7IdPgXazxoxLn3LEhR0yH
JJ2rrfD0S9UXPcIa/USJOzBEbzEMAtiMC2Y8rYiirWrFh22HTHwmmTGSh44YeRT/0rCpt1EtF4Vm
dGcg3yWd2CmNHf6NUzVg4m4jwugRLxJ1nyPlBhGYVigFfPQHDgu+fqAdqMpFGa5OGUuXxmre6wiT
ddmC7TUydann7KWxza3X8MZQ4rxEirxL0kSzMpmeYsshl0Z1i7G03Pxvt/7f7NZN1/L/6zCNeC6b
z/w/Nfn//LJ/9uryDyVd4Omm5JHlWHTdf7XqNPF4Hz2pXNf1pAWd/+8oDcXXALflH0lbDqLj71Zd
/EH7SJduep7gax3nf9KqCyGXXrzMprAsjr/I8/CW1EwpUQzTkvAjWkR9/MdeXfrMlZBq6gON2Uvl
mC9W3I9Hfx6Og6I3AWwZcp6Csie7zFcEN84xecSoq9rAuJpgchj+oYqBVYFK6Bz4zN3ygfjnZvwY
pppk+wl0eGq9163tHnJ/J8jN2QiX7XrqTHf1yFPXonhMFBybUGRYoHLzZHRMR31cXbsAwSddDT1X
MoQUvcVIlk7/DRDuktsGtQ4OeVgp3m6g9m7EBjIKP7TN0LBDWBrG8UfNZmefxwJduXOTZ9GDlaoj
tnKFe9z8dgj6tpr4vdJAHvF6xuu4XRwjYH7H1iP0yKGCzrtgXJlIwQEAcn9HA8PuPr2MKvnAZ/A2
C02v2eLmHyakXw0SvY2Zk6POq70Fb/etZjB/vRcMh9n1vmp7vKQ+OymU5PPZh7MVmLraDdaAUm2Q
d04W/HZFdJzM9j6frulErrMVYHqJ7GfSw5HAQy1ZOy7cPLzmZUfUGLR1sksqZHTylzD5aeIBjXNt
fXQJsL+2bejf7mRb11unsdnCNNS05BfQs6MSMsz6mWp/nRvui2n60car/V+iA0ptsx00HVhk/jQS
ajsdNCMCAtQMTk/5jmPt1U/M90SJaZXTL62D4Ua6+XkAmR55zSVE4yUC99FOKFA/zZY0OFlJKDm4
F0tq9c7UUFwc68IOSADQys9tqh4ChPp73TxFUz6xyuleAYSfiPn8XafttI1o4zRPVDbV9Xc4QCws
2fh0DSlz5tS8Wb4iQoJhfdhTqC61mlM91H70qwLtvx67GcNWIF41od8RBhb8GMw0aheKQjxuR6Mz
H3Rj3oUgIGFN2JvOBtjQQaLaTE2FlTHW35BN7qiFq12cE0OY0d0DOiDGala48ktPrBFnxRh1/Isg
03NVyYCMOXDzUYJK2VaPwZh8N0Fg7GVi3fb8O1BBc06WcXXTu/vE7E+e294ybfFXNL3husejtKqM
Z+x1jCCi5qeQNWokO7jUQ7wj+e8WL6u1DUtA9OFu0u0DoSArYzq7fvfmt+DqwrQjfnzgAmqbi+2A
yCL9I2mQ6Ei2jZXfECdpPTCSR31iySvtwEu02P/MS6WCHHD9AkWckvvWezP0vMGzeJAifotjaBCN
bXU7IMFkkdTlg8B/s/GgHq6MEkx+Mm0GBfZqwMk8BNUn+ac3AcEzKzzhz0jw0U5zadRiAUk59T5p
KA/Iw3bXxDhD5gsABxZ+SKnB75NbUmskFMH4POU/zIh+DSr4yubqjkyP3yTrPrFjho3KXqxw553v
YQQaCvpDYi4OqeWpdeLNIEpoDpSeX5rwSSo1HKEP4T5T7KSykTFaND4kBdxYHcDPTn0AvxjEPINt
uTEnuxwGUJ6n71NaxksQAyth9E3DDz6oYhvPuBCJh6WsNXtk1qjJg7Z5LA2GO5l5iAAFbQipHw+z
+u1oOBjO4qADrGw0+mLGsCPoLctND0VvaDs4G35CRWX/EG4GPPtmwFXyNeOhQOHkoxGG7EBkp7+X
+dmIWLvil3/ubV55E50LfWpOXmXJ+myM4WYkj87MzaON+maq3UuWIuEC9TFY08vQqc85fW9T+26S
SzoKqE+CUTa2mB+Xu27mbF/VHajNyRLzyi8WFZyMmGLox9wll3KKcRkpPD5D751UopnW5g7h00uQ
C13gSiI5Q+0dHMsiflIhW2p82NSyiLxM/ZIOGyS7i755CVYqRbprrE0php8BkmuXWWKPdna+J2bE
C3H/INSFIKWZVJXuzLivYyJH6AtYgzHZOkOz7PGDX3PoEqu54PBCdQ1dnlFG21cnVTR7o0Ib0oHx
2ETRRzM3n2w0b/HVo2cW7m0fE4UAx3FF+h8urqS9ZcRN21tH+Tqxs62yeJumKOL4dBJkPN6xg5y5
imB67KyyujKnY/8ePADH5lAC3+DEwtqZUf2m5mETQpuAx46cyNGL5fLTDaN6l+LHmAtYf+xP5dbs
66s/DfWxcow7LAwPdhT96B4pmBedhskndpRN26ZWMWeWMYuNgid6TiHwjJ1F/GVqkolYadIvlA0a
Rr6C6Dx2M2Bfg0Ukfv4ZFhuX+G+XrC4WYwJhqgKYZ3fQ85rwAZs6qKWeOYjO3L2Xw6xagD/LalkU
L1mTpZuuxsEkveFbOaAeF3yizXlSWJ1iSgbCy148KoBB0YS5ormrLFveInfPytl+JFq2pTP2XlAp
3ps6E0+T5+p1VOt5p8ekP1ERnbWf1l/KbKA/LjGXvsd4A05E7hfwkhm8isojcE9pnuDOUG0rY85Z
zfu84o4YTqOTLYGnpB9JV2wbS1mbQKBfKmU13gj/qKbBegQlR0xMFNxJb6Yh1SfCTj1rV+fGfJ+g
LKx0cq3V9C0D9DhW7FtcxsUtciFAEI2NQT6KiFFmKB3+CLTcG4/xKopANGMgIBH41KRgK9hUzpBs
p+HB0W72HSoAjLXNGprozhNoazjLKiCcwBbZBaMKKXvLr5LZio8dB2oxq2PvJjPouqJBqMCG1qop
zYquvsJuB7YRDP7BHXgi+u08n1Kyc/cCBjBeAq4APxlu/QkNftMU2bliUL0WhTEemeqfgzIeT7XG
S1knuMyq7NgBVdjw8MheRheJoMZgONZtfmsz3J/a+AhM08eda8EVmUno7YbpnWttBk8u3efOmK5x
S4oP62TWwlQJm6HqIWK/zW7PLhIcEAcywIv0fnSs6h5gBrbP2eoukiQshxb/UJDmCAIFZYyqx4rn
J6YzZgTXGp8NMUwkljMBip6iQMIOL/GSdF7IFrSOH6QFx93tzn9+sFslDzoHi5QsuogMSeDG4nhp
6ulci8Y9cyohXX3Ads/6nLzDTf06aGR0E4qH6MVBkMPzHJYTbN4rXz0ydsQFIFkohzXJcjTxDU7/
bKZGRPHO1t0ebkH3jLAYYiqbNt6oYLjKXNIT5sVvm/xKEjptlIdBazEcsohPQcPRDj6TIP6ShcWl
WUHMLLlXdqqOPs35d98H9h4sygerq2rlSXDF8QCyG2mtYgSD9gp4WQSZ68gMiXmVc41Fci0oJhLO
QlhUYN+yxmIlxvHIcKtd9xTVZut+tbELTkKmA9bMqb/0nttfjD4j1T0GROj8OH14o3OgJAsPWEvn
g1SsnZz7VbeYSjwR/0wTpRZTyZVlRuhG67QnNnu62H5/jgrvHjYnZKzKibalWdNAt3ugZw+1wZM3
H5y1H/s8Frr4BXr0HqUcfIrZoYBgHR0qKvAlOVJo+L3trPZehHMSyRpPBSQuiDvyggUGV/MPTQvV
vjJ3SsyHrDcfAog/fTNeSjIZyAND4yeG5wrjnGwhdwJnYZ4IfVunxISI6BLJ9GDho95nwgS4y+Ch
nLHyWfRAm5oT8jIMt7IK9DlPzYO2yJnpxbWNfUSWLl4IxAeobbydstWvhiga01cH0xrxvoIiGVq6
HmdCqOjml45pm5tAaBHHYUDuYFXpk7YIrbKT+4k/rPGj9wDSL9FWPCA77Ptj+4EBGxPfOQ56uUY0
EG/MRUIeTOe8bhk4z+kLaT172KsfdQWOWjHYQr+u7KUrGJtrWSA7qJvoMEPRcoxeY7E1nmsTrIuG
4tWwGRRp+sJpe23E4j6qSMtyc/mKww/hlntvVr61TlyWaHOxHkrjqV5SbFy8WAHkx1XWkDuYy/tB
osrBXvLoecVb0yFdoBYpUGJ36H32s437x3QSBATgOqjEaY3jVVAnzrr19ZU55KuTWt9OMP7uUuLG
Yx+Z/yKXLlRFkJ8RbFIQ/ce+BouVtzmz1oipcXEySjy/VUcoYxIv2fU9xI/BeY7p5JlqBT4cEKDC
Y0hkEkXQFV7ovHhwqnWVf5NPvQ9NdoVzb6MIbFEYTc3KGWYau7jg4GpZu8z3c0gsiHSuWmVPY2e8
jyImLWsk6FsjKDdtfawQG66FcqllcOWRZv6LTTMBUM1wpkK/ppycMNILJGawMXDlrifwgmX4zGoj
aSdYb6y3llcaYP79IHxgVfY3Io/fSvEepugSEaUyWNZvSauaE5z/cGPn5CEmVXljeK61NYV7MAtY
f8jYKeRKA7pz21hoonjsQ2MASmQCE0TBc/Gz9p1034ayKyViSndLi5tH8FFN0Hx1Bpw/YKalvpRl
XLSdnIh+2NEzM3iHXSs4DHS5I33xQavk6PUOlXKRfLfh0hTI+U2n95PNOwtuPFiNZi3R+BqX0EXm
44wUyKJBU8aOVKPEdaHWWoBTnKB8s6mB9NxeRCWhQZfD/WS55Y0yg6PfIjCSSpDdyYVRogDdsFXC
hJNNVxFRR9mjlWy6mzmP71LoX7uKqCdMotkK7zM3S+pdVIrWajIY8mfwoDGxcqKZJZb8oj1bbrbG
DLau+6A707Ud54KX153tFnVusZNudddk3jnGNrjynPpojEsRm8TgdOZ5WTrcwUYgQJg0NMm7lU09
uU598CWZ021CC41VPzmrJJrkUVhvOpsO6DDjYxhanzUnBrZ3P4zZMgC42YmpCPcuCYcr2z3TZzmr
vl409tMuGqCEoHwLRNPtohxmV6Df03a8dbz6Yof9b6uxHlhbK2iN/T2cJAkhQyNfa+y9J2mY4DHu
oxB3U9zgIonbKw8o6inY1wHPQMR88Y4pzG3E3yOBsLpGtAihY852BpwqCPHFry7yn7W3d3IT0aSH
ecmJcBneEMapEthIhKcDsrOCL6daDmMb1hUCwqP2+GMiVAY8OX57iXtklxxukdP3K0ch6CLqg9O2
rbknQtTf5vtM1PWmMsmsbRguzdlZUj2vTQ9gW+KNGzghlDL579L1CbcM/R0cXuAcJ5jel3yysQHh
6d8QgZGu5WwecKjJQwkSLJ6Du64ufjGcIW148Wxi0HmLjGSbD/x9RlxkXksj6dQfPfOxtecPOx8i
MKr26AW9OrVtNA1rHcljAk98E/gmdrbG6Nn4jajih/fQmxBipDc+rNdtnf5kWpzHAmaWJ6H757WB
EFBZHzbBReuCHmBjWRb2fAxtNk5XfD/RXurgS2NLIpIrhUkmDxULq9X/zm//W/NbRzBWtaX8r+RW
19/ZZxF+Fv8qt/r7K/+a4XriD2lZjmTyyvf7a1T7zzxk9w9LAlXxpYWmU3gu491/6q2ET4iysnzf
/Fuk1ZZ9FyGBsv9AHoUSS3mex4T3fzbEdT3rX2e4/FS2FI7luQIMmeTP/NcZbpx6cSuZj0IGsOUb
IbgOKVB1S6ECaOEAI96+16wfDn1FJmaWJOQ9mVNrYkcc7OIOrxvEVlJMyTUqu+ISMmO8VtVs4JrG
NrDJgUOLDabpudu1pq0MyPkBZk9SrEI6csSMzaa3OhIrm970zu44e8d4GDo8VamFnoCZQHdbG8qD
yzHl8tvsgoRDHJBEuwrSNPyKq5QUB8vxMFPJGITyOvABw62MnNUvrprcfMSKN/qrEmp8T6ZaZC5e
0M78BTQFmqw5jIhBcxx1zyqw2Q06Wd0+JUTPHePaiSA79lNPuV6ZrwWor1erBWzLiUtw4kbEc3Id
nFRf0NDUh4B51XWCFPNC1jzDI78Ylhuat7jix/ED4CWMO1n1di3KWm9KLA4FUxq/cmXKi6Qht1bt
sPSimZklr13Qoo6t4nZ8svhlxOnnYRUdoboFK1WaDCr9uWI9PORlelIpVA0mbZ1/AEg3YLVtkcwU
uR08YsitH7BWjCSxhGyZxnouLvmsvIew1eUPTOz6lwhn52YEbwgvuJvJknBHawdhotxQh40bf26c
g2vk8QsG8Q7PYBXv1IBM1THN4kQ9jtM5nJo738CiCFTWOEd+CuaZ3eABbat5RtocHC2jrXf5nGIZ
mek5sSIF96UskhsYCYuXrCqhJOQGVLLOJYpOIOZtEoIQWJ7CAqs9dFJYtY6W31TPlSwDQAqyzNc9
OZhrp/Iz0kgzA0lyrV9EMzmAsls5AKEJBODamanBDuYPKUq1HD0ccgrtbmqMxesAk/TOCEX14CaY
P5BmT2Qu1HZ9sqLWfxGm336qLinTTYnPCmdD7iAAczo9bGU4zTctmRhMkozwBGmmPoiu0/dYVaH9
5LKgavH8GCOsrJAvEHX8UiSeurVzTx6At+nrYOAwt42IK5wVwg+DDeb58APowt3C/TAzYF7kCXn+
1S3ID026mLYDf3x445pFfimTwT9GKo7A8KLx6m0J8Quwmf1ZjXVobaYujB9Hz0O1LdJI7k1QRa9y
DpLb3hHiNJmFfWvqxn616qw6QvaDiDGSSHmAHVRtWxpNInkqW1+xbFjPfe4OB2cYpy/iz5xXqAcY
wfvA674yc6ywHSEX6Vdx0BQNkVOmC13Bij6l8uWwvEIUN0HkIoIu2nwX64g+U6IpYZBVJjWe+Ny/
4dmcH7hso33Vp8VdlCbySlcZngLGxbiMB32Y2oliIOpxjkIMVsnGkyUibyJjOSaYOJDWgmkk2daG
OezDQnY3g6iSD2eKJ3bvpjsQNRDo/kbpumaQKRT2iUyksEZdNGpnJ0BO2heDPqcDs2zhQaTHIGCz
qWgMIa753HjVln6KGB07MV7ctMsf4NebjzOvNQdjl1eIj8xp/JEJLHSMYD0ae1shs0qTRUKdpyM+
285YcD4eN+4xMMp0z+oYZBP3/yJtp3RJNpXkrIl8lHGjJ/IHjTCTymMynJMpcu67Qrk/qO8x8cYl
zI68o+ERVjmf6qbThGwaEn6/GBFnjQzrmDMYc3o2nEzILcO3YdvCzYMCYkDnnFr3fSQyF0psmHMH
NkCIKHJwqhPFXlzqKVikVU5YAT2Hf8x41ZgwF+fhj3bM4tGYMUnjVFKEiPWuvlhSyy2MIo3/thMb
gsxRLOnEJp6OIj7/QSOafZQ1oE78mU2CItWGUs7SbIOpAiBDEYQRwa09L1YZeea8cuh2USGim9sS
LJWegnmuznTVCkZkXT2x0m8p1jPdLHyeKVLbAmJQuYIdmP9E9AIJ0s12elGM2G68dKq/SlfBtfdy
4IwlOPrNOCb+A4tW6R6yaKjeh85wqVY7TYEduwr2t4gm4CldqONtQWoG7nxDhGdw14otzdCzSyR3
2EIAqZYIJLA/xMC45Iyki7yYpmC2g18ld6om7E9bj21Nyucat+qYrNkAo9cNPR2+jlManp20H9+i
tkieTeRzaw54TSjoSDYAY3hO/2Buj0NiQZY2whqgoJuNSC+6hl54YtQ8w0D7dL3U/uK2cn/HiQeH
tfbKu6QT7rxqGpx6CJCdI65/BLwuYZyktTmwZ21vcH7XEz7TPLIjlEKgZhHFhkAICx+uhK6ayltV
ixoF/mBx3xBKv+c7xcT88rj3ACNi9bWSL8Sa82tWOTOHkRwSQA2WJPIqUlgKLYdhBpEGX0NQpi+J
1M8hzmiDxxOZIRwhThKR4+sXr9PcPo/BAKQmrtw7VXqo4qyJeQkxEM0qiwub4ZpOijfdOdlzUujs
qx3S9sYm3uLoT1EFE5SBXa5HZpo6CZBwy2JkHQEfBGp7OjbBbuKwQ2uosJYhnbyx7ZqgXiSFqNKs
Ssw3qZvZ3y4J6A9FVrAcY6vIXk3I5tK6k7pWUSyOgd8nn3nivJsVU3OrXoyfRdtmj4PbBg95b6Uv
dmiSBBmriOEtPDmrHdtThSsRXuxEVKqD3Hk9BXPwQLngXXITfrBGjEJFANbnpdLK+6qqqLlQEuYP
kW0N2GyJaXZXBn5ca1UWnXovuMnQBinv0zYdNpsJysF3Q+QddEhcuOw1NTPfIqHVVEl/2ynhEQ5I
BmZr9FN1TIQDfxJklTpKtuk1ghpG4r4bmKCRSmVucJxkO7sLrV0DxvEyNmnPRNLwi5Mc0+klbwdk
fMnQXbskbB8NLCnkwiDdLjMTTVqga3EJsQGxWi9l8+wAFySOpYKWRPOqTkQBTMsArXyLitj+8AnN
O/ESILoZArXzREfibxD78H4yicgxDqOH0MoWY77TA+NMwzdECi3behKmmjAsL5ktjC9hcB3szLYg
6yMlEIJomXrcAPO09lhKizdRemx+yfBc8wzpj11TR9gj/fzUzvhlIJw5/OWHrPk2/FlGG8UgZJdo
j0D3gHW9V3KmFyxxt/B1nJskkTGvneXdRXGCSCGuJrQ+ZfNsNnV926dCH3mlxUdc+8YB6Vl3k/vQ
JjThOp+JB3vNT4T7GPUeozoFeoCFYW4THkcnrG0ECr0HzJsnZts/TJUVA7gwa3GTuKxdEFcaHz4R
yHu3cxxuyclH5+ZniCrnMS++nM4T941ODEzGFtlVYUAOfIkrFV8xT+7zDDUhJCmgV0d0b+l6jpvy
SdM7PM+p1z+kwAhvrHpmthcH7o20+vnFsDqIVNXg7+EhJTfd7EUI2vr4gLcp3EVxwJyspSjTkgCV
VPvdew3n8XPWrOHENI93QWWYmBRAdyEthASq404iVoTroJ1QAYvQ/ElzVl3IALI+2lwGz02+uHVN
ioVeGowO4igvL8FIVBbEeCwVq0IYI4pZoDRwLHJ/77oiPf0/6s6rR3IzzdJ/ZbD31NKbxWxfhPfe
Zd4QEVmZ9N7z1+/DkqYlVQulWWAw2AX6oktVJUVGMMjvPe85zykAMp6wDpgzO/fND9HqAPfbBc9g
YEnGu6ULwxdJNIMbbmwJCkZn7cqmDx9mIHZ7IP3SNHZF802PXe7mWhBLtF5o2pdGFuTuVb6wh7xA
XMEuxY9WiKVtWhfcKqzIyp9OZ3vzkO3kEf4y/0E7ajemZLecmrL8ItIi/gyx9k9r+DYTXyzVg6iT
qB6JoqRD5e1N60pHGEE3QFHDnU2Qp4IsMlKEPHNPuml6S6OQv7wgtlZg3uk8DYDyLpuAxo+G5+4t
9yDbESau6KFI1HQGekC5hgQ366krhMGtlih6NfzOO7kqdKWRyV0EF17cwKoAQHUIjDLdZ7hFWdwB
iF3kvozvJaOv5eQkWc5kpYn9OkRqm5eprZ2qJrZfjo4z0IoUZ+HDvBqqgs2N7EgOuOS4uOqikIxK
ILdjcsX1NW9jAaqVPmRV+9pfNjC/qbazo2Xc99xnCaU88kARz5Zsq8dKboxZ2vvKLc9VbR4rLGHN
BOhhG1Oa7tlNv5OdTyYjTST/LDqbmqLXdKxJUU8naRfEBzdz6FMQg1A7YHmDsRNmMm6gOqrPmRp6
yVgkIfdQg5pnpexbg25exf690rCSs0sozbXfUdmtgJNn1W4LPRNDHRx723EOHZ0t1yIwg11Y2bDZ
I72Dik2VQJP54YEaIToKTem9sQwVSZiyUS3rmPj8sghYFnY5grvdN1uJb/FEE313LxICIdoiVzCp
wGO99QNBVStE7KCibu9olaEbhTsE1eKZZtDxFJnVWnOpMCBWzaaSja4RDVcqlyEZdeoieLS1iwQS
PAcTVXYnLeFHZFIwau+SndlsTtMUAb82QO8Wgt6eUzqtXlQv2zO9r7y3/16J6X9+tP/rI0m7nBt+
Wfzj34dfk82YPMvnn34x/a77HKvPvDt9FnSj/uPff/+T/9nf/LfP/4x6pIimZvxMOTp7AcitPzr/
fvsrv0lG5i8WQ6GsajqSiP5dGPotomf+Ikqizvf7B8FINn+R0HA0SCCqpGkkBX93/Rm/QLGXRVMx
VHJ/Ki6+//jRD7+a+XjXfn0rfvv1v8VVdICPVZK4GySwP3j+SP6pCq9KJiOoU1CqajgP/+j505jh
Ss/spAW2A3LzRXUK0YEAcUsi5ybTXOLYIKFy0mN7QjaUej4JJDgcXY6Za8HCFu6uO3Tzj36bnaNz
em3uxV0TuYt9y+TsQlAJeYUnh3c4/uEt/otXbkl/99IHKewP0cKUMnOOrwCaG0/c+Jq0KdQmmAse
VAaTE1sg8Ri1oegCY02mzilOhWpeu93ObiLUVhmGv7Zva0BhemZRnMcWODH1jUYzqWTE9kzuo42o
UVxDNYVAnpqo95UikHGRtuMmC4+mCj7FE+HTaYIJkbekX0PRX22pl5MK08DIVsN1JvLFB+Hv8vDW
0nnRe6fQVK91qZFf6V6CFidzYYhHYnBfurnqTxOOkiOt1r2lkFBGBadz22fuR8XxfAn9Dd61FpI5
ceJ62inOzFN8aURjWXUMofcnPD/nHF2MXUR1JDpetIS5y1qBADgcwSDk5q15ATjayH8FpilPDVN/
Ga0/c0VOiHarMYCZ0QKufrxVcLTBP274cbTmS8i59RkiqQAsTHNYb+OT4x90PtrhI875rM1vOp97
eW/v2TU+52dxK8Yf3lracOTAGlqn61LgsxFKn4hjn27ZcLUU70j5iPqRlao7/tIzhYMsUqJAaypH
JvAdpc6uUZ3Y4JhmvlF9NIlIFCThOixhXMtuMlQodnO3jHZirosnXzW2ke5gk4wZS3oN82OfANfz
aYIHzURdGrPZNJH9a3L0WAijnlTvkWOu9Bt5+ntjJvNql4jKG9krsdsIj+IZPeEn4qBZwYN9qKT1
13bQIaVSW9iBuRd791JpM9cE9abobC40K11n1+CYHEtF+SpYoJd3tRCPqdfOQuSEruSKq/nEiVZd
h7fJkbRVe3HfrIf1EcAct5py6V6im7JXt1lKSgOc3VkF/WGpwSaWfOiUMEIiLGzqja7cD8Ev7sUN
3LDGiG+uapRc7K5lMIF1pkAhEc65Y9tja61sEo6jkDwiPwKXvhIe1S16+rJWj9nePaIcSLotIT0U
FoWANU5fpZKnvfWyKxvrDIV0nsI6P8qkaZsDndpkO5UOKq0fqje8DTRps4PA+EHUsGhX5at9Sa/k
Ha2DcAs7THaTIJ135SWLzwI/a/T0npb6kYOfz07Co7klT13igaWKg8XeNMlgqJgzm7YeO6J88nq5
npOm35PrQjiz8Xtk8RyiD0UtwVsc4BgM1tVOzbt9fEgv3sm/+Ho5HVoR0zdhbx8Nc15PuN3RGJuW
Sz6VzLXqsc5SZtPrT82u8KrElbhKYCp5NdVjmkT6zquo0+1x5YjhhnDiwbkG1/ZeXKtrxh5UHTN0
ZitgyrvObwZ6BvsumUMIDA3yeHiaM0wfSAdWzy46xnbyAjgx8nsKO/199VkQz1Gn9BPYkNiZpSzr
gsoJDb9tpkJaXeM0W2k7Y2ceyDfSZ3v13psATbXNIqYNxge7aiacPhAzcTpUWDW8InlGV1Wln9vx
pz3VFCooLwO1GuUmSslo0Xq2SRoQOUDXwOmOnY14KDPhKRCNHQuW9iw0Xl2FLsuWizKIsHoKV/Ui
CuxV1YN3ja79XbknR3yEB0NM3zBWcz33OlzpDMDEgHW3uzPXaMDWjp8yxE4IK7hYg77P+3kaWhhV
3p334rO5ZtAXmGLEMsBAw0p92E5j9nn2pUCByhyOKK7XSJ8OvVXx2RdhI2CRgFijT5w2ec+n3lLk
8pa7yaGGVD0KAZMI9ieMwo0Fqy2U95KMRy+ke0CHTLmxfXvlnyIEJNxm8yCnKC90FUhXQ9525K8z
axGq/au6tLfoIj/ss3nWobn7uBek9wLk+zx8ZXm3jeA15Xd70LJILCnQVNy7HeXbQBT3VDq8SWGF
M7ccQDEm1ZwwN1PzkRkpki7NSwxzhZis8lPBf0d9qJFylB1371y0o7y3GwypWr9xtTScWPKbIqcO
TEr30fJsgmOVocVKLFRHT5bo71YdiqPoIhztc9RjVS8mcRiCszVn7pP+0Vu7quNv8rkj2Zux3jW/
tFN5Hy6j4d5T7+E80WA9opwCcjoFrZIaGROVQM6jaPWDdJQYm/smnTQPMvfY39FPRg7wAywk1tbh
iYS/1YuWrHK/7Fj+VnlYqV6WkV66h34utOrgG9FYtLfxzb+BUXcYYFOfeFH51SbpDI0BE8s0Ovgn
Ot4Bt/TjUIx4H9Q9UAvbWPq3bi+d7EtIPottg5ZjEyK6FDyLoGBPTX+BfZb3yjZNzYuyUw/WKbpm
1+LatM4DuDSX6/A8ku7VNZzEfE/LhXe13/p79J6fcUdHe9M9EzJatPeeP5Of4zw6SusKURP6ZHhu
2vUU785Y/RDeJfMcpBfp2B3wJS/z1n+JD/PcH6WdfcnvpivMqzqcUAmxKmT1ZonLBpWKn40llGHj
0ASX5akjdWYYaye0V/XT/vCCaGwdhS29VtO2uNFrMTLiZha5J+VYrrA63VUYRVwsBs0fysTZlmva
x+Dg128RZaYkAK2C/1Nh6dSonFUT+rIgS1HRhNe/nAT1Ojac+dDa7XMuS6/ROdsX4NPa61Co1I+K
g3Rrb3JrzTCqAmzRxk9l1Qgk8XIcx5kM5Sc3EgC51K7swyOA+p1tzoRDcA51fyKvUX0xfozEvp/6
n/Gn/HIo7qMuSHuLP/33+N1K44XnZ0cNm1uiLeNjeswxrOcRy5F1dohPkRdu2pjbkdwIOVgiwPVl
Ow/Mvl+7LVkHJFOsSzkIWfUKkN6+Gam2Frv6UnN79EWTkjArpERIfmgwmuRUDjYpf7yFqcDTaw1b
iIiiDZYvK92zrlAC3xj+A90Me6dsEOgDOEmEFmgSfs1ArqNZHvI6si6eBKyAJ0KkrXJieF6UNoxz
trr0VEzXAn1GWsoJzcsfLnS7yorET5WGCYXZdxJaKsG8CnhAHi3EiCvfJ8eFTIIVP39poQFcv2Es
y5R4gdXPmPahty8DfTDb0hplUzjbiwCRQMZAAqVBBS+tNyl8BFczrotZ1BqfSUi+khhwusyag1JJ
OSwj8QrIANi5lTVrL6uHjwXyGXeomeiwTKz7mqLGkp2t5tkB2hufrk5YxpWwOjkZwQKCmlpcNAvX
Vxk8S9BLsSFuZHgD7LSs2VDLCu+RgHDSgDsIM2HnqjodPCw8ZyEEcRTtccQ2AocggYpGrbD9Y16t
Udqg6mUtXynLGKVsfzg3hwvHLldR5rZQUss7R9uzHWbOHAwmsWxVmIbDYcFg4ZenBoYO0VhZYnCq
cMFMj6ZJFUqtxNtIVW4iPYf0BpYgAMQdRqyZ47QH32/XVoFbNWmyLzVYWXw0HDZxZkme/xUaEYF5
GR9SQcR9Q5SP3tZu7sdGMKEmGZyorcILA4gxCuUa8ANlmSy5/YNTxSsR/gu9yJ+6gjpTxfk017qD
2XHhRjQ7YIWBZ5L2JxWN2fCAILU+dL5CiM5t0bIMbmBEmdlZc741gk8ZWFWuiqIKJkGjJtOfz0jy
X4xIpi4x42kSRBNoL38ekXw1RKoKNGkhtOwEzMq1V8UoWDrySHzID/PR30Kb6nigb9KbvGFJNTcp
quouIQfi8p3AjcsROabAwL/+/JUx3/7r4GnqOL9hNYkqwTPCdX+c3gTPRsdPfJkG6fpghfKnSVZq
HIE7GSXvCkfH8hUkmzl2WavpjpYL4698cY+8dbf04K0L0dfnzs4iyKmOCwX+58ML5VF8iU7FrvWH
PoMuWtiBe+EuHLLGk4H4iVNpKR69G8dOr9lnt+zZ3YRRPbPO2U2QsKkFC+vDepTLiXHuH8pj+P3y
wi1WPULynKo1Eh5uCpBrUzpsTwRkglN0Sg/BOm27g45vdR2KujJpfW3b5mwDtWoeBctCRdFmVlNP
jX+0WQ9Ha3ej7GP5K0h2RCFYKI1iLXszEKb4xs41Wy5HmHghGItLC8NqJFXwuaRDwYWnVC+/gBqe
s/YM1AKugQiRO2fY9W/xLY4HMs4juvQ32VpCmF5bORuv5OCvTcozmQKUzDpHXjqQrdiA97lMu62u
rySYuqPgkqvpPX9Kt+ZiRJS8pbQv5obLG+pv6G8d0VF/zoeJxNkYW/tsHVuvWIoKOYxne5NuJSOh
uhqUgJIKOsxpw5gzzDucThl+FIagnmM3PWoMRvHRP6ZXlWHp55eWJv7FlUXwgbCkIhGnNIbf/4Mu
EJQt6q7sKAstTVZ4dXC3jZR7/6pfulm9Z95XKemzVLwFvTJvl3l6aR8lvhr63vWXNwxR6iPh/csO
Ckl0Lf3o+KqkT/6BcUpP6ibmvsRjDiCgwWATv4uv5lW8cqoCBAwLHwEjkD+VGIfY382drLh3G5fJ
t1v8zY85fEF+T2t+V26QhyQd1ocJXUz9Qf6QywQqQ9IoC7UJL3EmT93UmIWdvPTWgknphjpt6Gwp
jsYdYuF7fad/ZKrGr9J6pwD7PXhvX/ob6xbt6Iq7WiLy0UaonyjR5OJM/VCVNHpWy+6ondldZmzA
CP6xCaAUQ0YDGNfEcfb+rjYeWj5Cy54KR+8QnvKdWjV7WsdX0TCQia37poQhnqt/crD+QvuRhyTq
jz87nzCJG8m0TJxOf/6Iq8YqEil2VLICzpzgP2ccRnKE5TeDHnS9ugBsFkmyNKAYOhPLNALROl3R
NYWOMk6P5TXnQORfhYt0SP7mg/krXYoXJmp8KJLM6vGHF8fNSKnJCxANqItP/s+kUuI3rxXhRKvT
/L389Pa1SpRW4Khx7WXtb65/8y9u+rCSJVmUcTFoAHz//ObwM1elHebqQvftbBE41iKYW0TMX+W+
PCuIM/abHJ+ANjBpTcRtcoyO2dU9q5x+tBf9qNv4nDHjBdcO77DCn8jP4URaZNfkanctsbdFuc/P
FUNgeye6gg9W3miv7FMgsy8/i3qrEMDsV144l/VdgxQ0/Ns6m0kpz3jEmW+hIn4zmUq7RcGESrJs
E15dptZiGF+pejWHcdZirg2HAbdh0q2Hkdd9D6+QEfURZumduouYjAFaXPE+N3/z3PyLt1AVRUPm
iyV+d+39cAuhzaDJDM9WFvlDM59SUlkj2AtkR4bB2GZCpue3GBfMzP1B3eYTuUFISNhRwBq2w3la
Qc48JTmQmpSjZg4jxN6Ea9AmHxtdsKf2ple7fCztlG2I0jXWz8M9Jn/WnXvwoxIG0YhEkEsZcbI2
IuFZ1yKhJRVLRSsJY+cYbNG1TwpU8VyiWCwSsb6y8MHKfx5ohqxgPoU3R39PmLQ7Ju5w3BXrlhk8
2Ht7fxjKDXrrmNGzknhbsOuG0T3lZk0FH/M8zopDfJTv3Z3P5aoc+mHwVy4//w5/vw3/+TsMv8zS
cCmKw9v849dEkGqOVz1G1469HtuLSXypZGGFpEQFpotRpsUrJnjqPrXnchttQtX9SsNxNUz5N6xQ
3cS8ditqyNz8neiMPmEYgbsGvTBPz91XZAz1Li0wiGWcB+6kT9qng/+EwMYyyEUZw5G6aU1vApB/
GmjdZyHgCBLa7Evr3tnthcu8B7CSqdS+gqSxnUlSCEQyUc8wHk11cEu0FChHVhlnvX3IS3sRhl9Z
FKwVjWSVt8lMDCs1DbleqUGDxGUf+++GNtJN2ZtG4r0dQvK5DhvNKsd/897+2QU6PBs07osigT9R
4xkh/ZDkJ5Qpxg0QNcrUqnCSN9LGFr0zQvY5ucmmt08S7Zg8rYd4qy9gf1YBH/CA8i9qSskV+5HW
2cTRraGmjNJbyCRWTLgbacMaJA6kjmjQPHgFuODvkN/mKZJI8MoHfST9qNtg7MGYCm4UvD6rm/WQ
MRrKryxcKpsM02PqlkcXMYvsJkz/Cx0UNDiq0luiFCdXa4K9Q5SIt6YAwlFWaNycboisL0otuGaX
ekeICjAGNNOTondrMwbjXDs5xcX6Uot3lgBMODJad/Tzd1Wy/vXMCmwBzgJ7GZmmGemHOzt86caP
C5oa+718xBdawWIKLEAIXvzclh6gYjgJM5QJ6yKeumP9oENR9hfqMbm1TbKvJ7JKpcdwsDtBuLXp
SCtL4oE0nuGQHEt6yXZ/Xz8oo0x2AuY2FhqH4bSKa/SiGdybR5GgflPN+itv4qUp1Ytmpe11W5FG
fK4Rk2KrAwt3ngpkIVeGq3qmtOqgvjvJThyEnQCFpx2kHnMQfYg77Yej2nBjLe7qyUMdYhc/ag/2
1ZC/hRuc9DfpQ6ootKfDuZhGYGhG0c2/VESGUqC1VvmejagnqLwvRGsSGkXyoHBtEivdnEvK+JJ1
0uC+t0Raq05G+s09BYfM69/ryJyRN5K+3Kg9WMlH/JXI4bdkw0RAKj/YpmpKsTaLgrAchJ65pULO
sTJEAnUZL1yVijd8MRGCCpnoEarx2amo+glougIKvzASHSsDSKlcSXu4g+nJ5rYbDe2pKBuDykJ2
ELsXNP1mb9TvRX+wz0U8uM1sB0eptlC9dZUBNG+HLRCVpyTLsCBU+Vb0D7UxYpitMIcIZOHGEZrR
8DZ29+ZOgGthuOcg2uf8s/C9u1tv7rVYpKtoRlz2KvJnirtyoO5lVKNR5df0Gl7Nk3KQdwka1s+v
WOVfj8Is9xQdixo7RighP1ywATk7VNtMWqRNfnc3xhkyYV22s2DojSzKHtRkLQPPB/2fvurRZ9XX
zlzM0z1B6UtuTVR1jtEAuMSgMxUITuFcqN7CQYMq1sJGsJWJPs0HhervRtfvt6g/Px50NqM42RW2
k7pi/nCKkVILNk6viwtZiTb5JTtpmwLdqEA/ylitpNqyqfKpQxLObL65kvA3RwB5eGv+5b+vKqqu
KABWsPz/+RTlQuzNSyxqCxsRK+G8nHyyrU/wHeIfeCWfwaeE7GVzp+G5o0DB8Cfh2TkKXNfIZNEx
3KfIZgXymaogKkjSE1/Lm0Hh9N/clv76lQKOkRVJtiRL/OGVSo1gR2XQSgvlHNyCpxJErwqFsj1o
Z1G6uOml/2i+FPJ7W1WHa6e+u308ipU3QF6ifZJC+mhEF7wX6qWBipnduXvtfn4hytpfvZsmdFqN
+yer5h+GFUlQ+YiCQlo0VjM19u5FR1WVv/xvjULHYrhxFpoYUQuCz5ajVsM7CuR1AFIsIzrUvRBQ
ySFnL3f2E1Wd4HsWPOv+89f4l18WwzQMQx3eRh7Df/7EKQ9sixQ6DIwpe2Y93LfiVOL4p80ZwZQj
7344ybZ3HkEIqkAK5/QpUGZaTvqofcaau8QfuddTwDidNi0DGzezcJf1eVdVGyt4Gam3DnL36/ur
/s328Nss9OtG/4+2iD+6JP5xSQgvRt+tEv/8M989AL//aut95Nx8v8qf/qn5Z7J7Rp/Fj3/o/0FT
hqxbIoPPP6fGwSDym51j+BH+9/844OF5vv5oyvjtr/xqyjD0XyxFB+qkKpKk4aPgiPRbjkf5xTQ1
hYIOXcUITGD3nzkeRf4FIQ2IMfGe7yEf0jW/5Xhk6xdNlSWsIorGCUEX5f8bW4Yh/fkLg7UDThQv
Sx5sI/zvR24yMc9A92I5nlPySjSEIz4NbRzNDhS4N8vYZCcFsN49xLIpr7rartawG5QtZc0iTc09
CwetFuNL7rbs13NNY+FA4HbC+iYcF7gFF1HUCguTdsJ5lfLYdCVRWwfAcw660UP50XP3VYZFMwdo
IUzqWOnZD0mNP2+L0F+RAUwOruC1Oxv8RAPurCpe9MwoC6kmDN3nsbwHZGfjtyqsd5wazq3nFjDH
SQ1sSSREtVAqldFIImLZq6jnHb01bJYMJ//WmdDvTbV1vVHQueXKlzoI0EVGOIfU95QagVYBZJTA
qyCnCiWtafutEOjxOnGa6uRVifJmhw3BygRiybIL3eQqBxJ0FaULJ4IM2A34WgKqhARQ/qCojgNa
jfKOdzvccsaJdxovk3E1lR6CTMNnhE9qSs63OymcDZatJqYundmY/IPUlkfUM3iTJndguVJHtDOh
eGJHVNSJUuQdtTSShKuuczRG7MreIkMaYOxVIIGVnj3gKds0bHTph97bX0ZWqU+6Q9+hSLJE7vpK
nmdpZEI5gCvBMq2x8MXSt9s0jbWgOqHbVvCtv5lyVI9kLoNboTUYHSor2GdSJhziPjVpJlct7SMF
0DFX44DpsssscVcGWstD3RahR6jOFpckPfaZqMFYzjmnunFuL22ZuBC3y2KTFyXjpql6O9mHHukl
g+2bECR2ACGl3YYuyujg6ElAeXxLMD5TqfYhF26iiibZXYBdtO3LjOrOugg2CE3GOitLkUtbytpd
hpBF8lUiqp6WtTo4F3pqf+XMmuVSJo+bQEmWjqi4u1AtdXzgMkVUOJJnBbDOixUI9SwNo/CpuwIQ
kmKIYuOttOGDWEi5MW1IbQczSejEbJIK5kAQNWRxIVIeOQeOFJ5UNej3UqoS+m/ifOWK+iFLAEG7
nbjTTEh6qSfS22LLxoVC4nyuhYk116Vcn7eOz17RJ7UaeG1HuYbXm0cha9139tki7SpwJPw61g+9
HZiLVMiBa0qRvU49H0tH4gbKLKPZfpISCKNmLC/5tgn+yibyNlMgqPL9tAEIlZSRU4AES4mMjHXy
7V5j1UZhnxxLtMZ1sbQWwd+uIjfoFzbrc/iDRRJvUx/sUwAGF1djRYGtZ1hnhZ+dKH3E1gPXLLGX
pJ9xFcVQHWhT4tXWZCCsxgjYzuqKNiXNzy7dbNnT1a7+AIppbQuzD+cVTbBHiXacSV0J7syTKHru
Uo1W+Zw3H0aSO2+M3B/2xkm0VZvK/sx6tVmlkeudI9WQZ6Vls/ATfWksgoi9K2HXToJOMeYEZ+qV
mLUxx4PGXLS5ihOtwNo9k2kqOvDVSTFVuYY9Slh0acTmIhDlIqVkYAw6auEconsErKk/etoRPUsG
HcUQw2vH3IdqgTAvdOkq0MNkWYke/GjRrpuRWxN2z+uOtUNv6v4jd6J+mrkqG0/ucaNCGmYt9vzB
Vo5rLp2y03CTYNOGu6Z/5b3E7Nc1xq4Oy3pfK5nN6jH2wUaWcaqPlVbLxnlfxvu+8ShhMMinF4aO
q4Vv08pL+DZYcSCfNckHjmkr2bSCJvnZY3oiE9zA1gCxIvI9b/Rn6CuM0DFshVNXuJU3oaUC5p3h
03SUUkg39kKLVX9ZFNs6Dpjtc//JCQc3QAHCTOj8DT4yYey2hbuh791ftRAnl0nrgI/rLO8WpLn6
VuMZpGSZRqdFR0ieNsm6bpxR5Mbpo+0NB3qM7i/SKssPiWCUn4YvkHYqNJ2err6wsOy0zhLFpt+F
Fg2FstZirjI74y5Ggi2Apqq14T4aA/fSfKjHiaCPQ9st2HgLpRccFafJNqn5GTcoahGclyvZ0QJU
IDCTxtbktVbmmPfrxsNm56U1b6ArdMnZ70VzElDzdsaQTKdNBweknxh+3V/ECsMW4KbYxRlY01EJ
RL6hjjT0smOQUZyYwrHY5nXIqtADfHaTKo721JLhr6fjaVrJZjYV+dJhlAvNSdXkcC0ADbPskNSz
recB1b5ppGxsOpnZBOKaWOdcCQuDyNVQ/ZGUtG62aHAAxVixeJlar+hGgmA1dGOnIXBaNsj1qsDz
tqjCIMtAPKEVjWICWS9wc/LGRf4lWaNG6KXcGKNp1PriMhYkcarFLUmrttGoc3eymRfSSR8oMuJD
HRCcEChFAApdOO+S5GsJn4Ba7VLVTVfA1qVbbGdwFnvZeSmGb24I7GDoKGsKFOGTxku4ZTtFdXdi
ErBkaNHDQC4qi4y02LHJze5sKW4zVyVDOFSmS109kbx1VYvIaGG1Rc9JVkEJTrqyCvtBEEd+KEJN
g2GMPMnFaONVGqyLraYvSK2VV0vMAU0JKgIVxdfgGqpv6DLSXIWgM1N70V0rbimcrFK15mFe1NUI
kbCaeK2rbWRN7dn76LBRaXwzi/dc1spHqHrBQdc5C3H9yNnTUH2zHGmwiOm7FEi7WVa34jxhT+XQ
hGvSQTyUeVjB1XVk+xSUur2kW7rZlHQNrW1HSA9CWIQzpYyrO7IWOy/PzN/snNKxqqM0bZTrGSye
LECJ9zqAkaGibhrHoskszOC3xp2bHUUyJpOWQ8U25Yl+NMSo2Saa4dFURZKbg5Py0fNJzi2OFju7
hHQQi5KNqBhlZ1EDdIPhKgtOCUGpSeg49laW4EyOeiGOnl1kBP4c8oF4isTKnJlCHIA98710qroB
d0+nyG4JMAriWZVzzHo6Xuw+khZ6Ygk7UE4+2QzdnnS4aF+RFelHTQyqE7GDfiZrSLRl1TRLWwJj
HUh2swowxp9BacurxjSzDkynGl9TTlpTR1L9cVFAnkxj91iAa04NX1yEvuVc2EyrC4H9+M4AhDDW
LRuyd99ol0jUjGmYuZBbcAWmmGrJjsZh583SVrFnDJXSSxQid+XEkUIXBENtX8hseNK0uVqaXV4F
uSGYI2fFzXDMCnOl3y7djvQc1Pd6bYpe84yNEnkpzhWwuTbsxbOY+w1OSR6/YycI7VmSoZQnjh+u
QoVunRFtV8pGa/LgK8NSMOsbyZ/X5HgmuV4j52FE1WaW7IHJAo6+d7mJr3zD4cBa+EkK68Sp3i2v
F6egZdpFWBQt4XNPuAtGXj9KEXY2Z0+FqIPVc5+LNTidCtwkwOq5az3SpLdPnUkMD55/JUcjkzqu
ZFo7rbfOCG5cI6P2lnEgthMkTAuznNw/Ui3FUqvk/I5ddxBe7AKCc2i1Wyu1MipKTGndewkAVfZ8
84yuivsQx9InpS3xbCZ4uONfoU17Wxn8SI2YLnxGKzKcueisvLai4TnjeE4fCsDYm2ZDxZsOqPtm
HNm+GZBvIWAGyTxvd0ZSmxtMIf5ZcSUbBGbM6pQgMeBA2BitOE44F761qhYByc/V2kSmKtHmCHj5
O8qS4p0nE/qAGlICk3ShcZJK6RdEXOC89p7ERoWc2IOO4+QaMFoF/E29mntMXPnIQmWl7Y6ylCDm
0aFHVjk3Ukc/5XEbrCLHlZal5Ch70hYxlASl/eQ6hAqTJlL+bPzQeClln974gfEBZ1KyNGS7OTac
OH0Aqbk9gdbnLOrKi86aF4vRSNe9ktNUqEvQ1dlH6mEkrERXieYx4NWJJGQ8zFUt30CYz1Zd4Acn
0fCJ5yq0wtw0MrkXimcQSAT4AS2Y9LFqEOIdQaqk5yERi3UiSfoW7EP17idCMZE1itvqACB0YOqF
OdK7OlhxfM9nGtPiHqKfXcGcKfSj5eT6LcliYeXR+PSrQf+/Wpn4/0hzkAhroBj8NAtyIbta5eyz
f42WDGDl3//ar9IDtGfIIbqEWIDKMBCh/0N6sKRfJKqSZEIi3+UF8/+wd169batpHv8qB3uxdxTY
CwY7wFrd3XFJnBtCiXXYe+en3x8lOUdKHE+yOsAKgxUGg5zYIcWXb3nKv1CUfLVsUkca4iC0vPkn
yDQPVcDX0oMMv8QSVUoPlHmRiv4tRog51Df2Kp+GKQKEUyl6qrouE6mJQxdkDz9B70XKwe1UC1za
7uWsQbgom8GF/OyJmBfmqfjQiSphrX6Frh40VKGbxDVgFxdHhwnL8YLI/LyBREF92TfNT36H3SIM
Omj76PQ7ZZOfpWTCk5TsyApFFCuVqcB/Ww369KUivThQMWKiMVd5KFsdmUuftRY1K+eDJVP3MPU6
v0gKehL5mvaGjh5XxImRTAXc7EXbuwllKA8a7ulYJaJe0J8XIvIEMjR3GOmP3sCUam3AsfFzqgnL
wuvcaa91d77xKMLQHIud8dR1GvAxSGFC/KHQGwlcN6z0LkJBV0xnifxZdBQwH/YUsa8X1VGulUFk
j2gSkJtufKQZAokDXgWlSkzjtBckrjDriFjECEfZJTpXIpQt2MLCULWoP6MEgPkIrt0aCsB50tA+
Qf8JgglchlsHglmvZpMiNCqCf8JXH0sLNubrMiz1c/pBZ45uXrhClSy8kqczMnnZGCKmP7hGLrxs
YPPY88qsexpIPtj6QKC5Xqv4sdK0iS2vWvoZh2Yuwe1vqgUKT7Oohk9ZgKJcsHnhDHdh68lV6ASg
K4f6cW8UvNS6TBB1oy7Rtjb3CMExRbB+TVrlocBmm+WgLTT0MpoEly/dcO4sq2dLFP0UZW45mDoy
6UyHqYAcAACXQIxYuq4sRR0RJN9z4ikCTZYeN3OPIxvxX6C4dkE0qjdXqetf99qja/oiCvuedFUC
6pqgOYVReoo1mJUqmBhxGvvU0sYN9jP4DgtLTxeQ0oMMNS6xtEQ10uII88IxlPR13IfLtCOcK2WK
z4afWDTO63xipGDanRg6dRHSGEbM+EudIkrmY7dCUHHrGf05rCK6uZQq/CK8Kcoon6WpK56JNR44
HZ0mHxEAsn1sjGOsINAplz+E5ae8RUhQgcqI4G31Ed75NcR52QoR0DK9CllEDygAfkVjNXuSS+Fz
0mNjFUkFqMiIpEkBSYnMBrl6qsMCgkXv5+G8b41zKU4EXgQ6uTCtpbEd6ucGVJkE+xZfKtHRSFGs
c/sOpw7olwjPTjtd+GpiqTJGrQQBDbfzzyTYzBK2qGO69wnWinQKApc0OEJFlotj34UHUYjlj/eI
xhb8MPPCLPqXoEd000SefSyK2Ydaw2nJEt0aFVzF5YW6H40yulfB6dYC5SMUx5CMQy9SRzcyKsRL
hE+w0sDaFFcvJtogMkl/+k/Nr/wpogCQfN05fRQyGNKfBlG6LPKuVACsKthWlPKwYBlkLGsTQcvY
zpt5UWBMG7joa0WQOwYNTD9PTCpAFZ4znZfM4zKFJeQuPCN88JDQVC0k8gZNTQNxTUOACoTC7LLL
JQOp+7yY+AO2z0q9layH4I36tYZYZ2qg2pllyHcOOp7NoOhZIu2ZgH3uA0uZIgEN6GDQ/wxVxwcr
mq6NDnHPJuwfsqYF4Wv489CHE4Vq/DX2fdkYeASdhkFlFEW286oB8dIiQNprVCnRI0X0BItLdNzg
LNNXRrQUb9UaBVOICYOeaRGzkXp5cQdwvxNE46JA+lRBApV/rUzIxFKqJrwq/xP7+BfJsYJZaQvt
LJWbtVDea7r5oe6sh771b2MFdI9nXnQKgpwgqhe1i+SvIrbglRNbOc81Q1iGEIVz3ZvnTqrPbDRO
4FdA6gp1d64VbMOimZnzRiC40hvk3GC7WY+dC2+lS/Xoq16VM4CP+iXFPHvqAVHKewT8qQaUM0cH
bUEeDs5dYPxFgWRDFm5yA5kNXg0HEFYvjoVkpBp7d4DtnDEAiHoWeJgHmGpxnyCihO2WAgYxaSdh
nGJuVJneLPM1aVyazFRHJIVskW3pEYwIXZeD3irmmXeNYKQHpIkmqpU3V06KKpvJ1JnmpToGAkzi
qAGrbKVnjm2yEiuoxwJuMWeg0cGTaMVTK9mPDrp/c1kC6ynGQjjrSv0O8a3mvCjNZdyCMlX1xzAn
HWustkSwB2/Epr2WFf0hQBtonAjNhdZTEbUF55lOeTnXYzO8zDv8qUrpU0/t+SKFpIWmY4Xaizy2
IT9cemXhnGcAIQVVze50tBCmboHEQpU26qXnBgtKw7goZZC+gzo5x755bUaOMkyK66bF9DfprWjM
AFkZRUAh39DoaLcHTYetdGugvociFfKn2VTIvAc8ep/LQj+njt2dl7TsSNyXqdPO6hKouWlrPTLV
sUqVMPksev1dI6EbqWjI8UUuLuOOjTcLBTWOgkR/tKBRCIte6z+6vbi8TsUUeiJFm3mPboQoJf5N
HWK763X9HdpJXwj9XyrBA1RnKOa4ssTzYUMULSqCBejrQAKC7sMoSoCA35MBj9umle6rDlaP3OqT
vkQYpzbNe09U4V3BNJj6QeovoxDLBynn6EivBST3KYNWmlJf5YV629FknVgJiBlURu8rpzI44IGI
Abq+QBvVRvbLsBGWbia5i0SpEfFLEtJWUNAxlvTKWxWd2bEh4BPgp81C1DSkq4FmOAQRk14Gw+Jp
X3AMLz6obnRvm3JyjS0NpdQ+JXcxoltEzNLzsL1UvdibBx6aRE6NZ5Xsu9FUTvE5gPwxjiUaLrlD
2iG2V64Eiy+lWJoWoC7MQJiXHgRXwevVC6WuMJCRTPI38JJ61nwQXF+aGWotTNPMaeeS1Exdu/qz
ivyPtaiCyzZRbtRNQUG1Buljq7gWBLm4CPxemw2JH/KbBIQGKmBiiM8Q8QTVAC9x52Vp4tgosa2a
2C2gyxPQdwgmlZEtK62/IWId2jRSMMkqeV2ipU0cAhcAQ5Gla2GUbVLR7gTlAgJ1NvYj9shOjj8R
peXXSAFwrOJGFLWBDZSJ8MbCVWlKLf9eqdHb6nuRWk5nWpPW9Ze1H6IvjKPezEhIsp0CgVHiskvB
es6gM826GN8CTWSaZFmEWJvUPTAHZnUc05LA1LnonHyppzEFSvtLhcD7FMNRYyxfeaoD4KtQPiJU
DvcHJEAPSjHrHR66zIieVXteojY6F/zqhgoXqiR9dieblBWdTDehUuirIKDyDtnY7IndkH2Zu6Jt
TdK0nKSa9gGjNLTPbMsehxpzlvDzqvdKYJ2sTDSEoEW2WJR0M8+xKGup3QpbFQQT/PrRRP5zUkke
+9hAMJS9S7qJLYrSSU6brdFgL/dPbYLKSoWmn08wgItRRR1C1saUtXCMuMdHepaFz7VBxBEXPt4f
0LADw0yuwGFhIF9jzRciGp9opnpWaxamkxnwHGgkc9a0TPFOR8qggLhGSSc1hWchypCDiTAbiH1R
mCixjMOGtu79pDtTpAgCcK+9RLn+VfOqcmzk1H+LBtgXWsUPrYIPl6J8DGq/GRc2pA45v3coghou
ELNAnSSx/SSqScg24D0kWnwuh5oypQG5Au6+RvUXa5RxDdZ4boXxoscswkSj3jY5NRGMQdxH+6i1
2kyOWgqOPmxFCU1CeJYYjLgssRbi8NiEMoGERDaV0qi/9Gt9YRMAICKdX5bWZRaCic3Swr5MaGjA
Jlcnpm6lczm+DfNFqZbeRE6h5hX+VdRU0Mrjeq2Z5VKw03uTnL1WqONoXQHIP9ORdLZrLFZ8o78Q
Xby/OiO4tgwP6dTIWqPrqgPgDqD5CP4HX497pCDHokWUmIWLstGqKeaKPeVH0BWmPs1k6C4V2mVn
nWIaEyn+kKDCgkeYJU5S9FUmFiL+S2763AECVzJJAdtXAlpMX2wfP9dGbs+cRrvPtOCLbdAoQ3F2
7JrmR9OpBHYe5UrA0q5KNPgndUnw0qEN0Nr0qdoXn2Sot69FG8RnQcV4nMr12HL0m0G6W7Yeq/Rc
Q1on92x85GpHPkM4viKeN8+TQHwOoG2fGXXRTPsIn3hNqO6llK5v7whzduE7QZOeQtlwp4z7upOn
UoxcdF8hHt3azq1keeeJ5XbTAodH2g3x2lHku9YsrlFYcxB2qUHghibaTqF/ZVbF4GgwOL9lWINV
SISzO4NJwir42lGcEm0W1pZxbUnxo5+EXxMnItJBtSan7WxYqIjF8TMKXwg5+tkNHZGFOHh56MI0
qKKLBHRzF8uLRtVeJHwdIUrnE2zY43FdmS//Dxj5FRUPpFpBa4AX2RWwBsDIr+qEvKsw8msiIsit
SRRS3sOrvFRf3XWed/u1o90/2wmJYBOGaLcqqih2GBvpj1fMigb6RAEzosH2AswyWHu9as/qIwBN
eH3LWI5ZpjxAr3aFI0kcsXlIoFmRtDWAvEi/g1lhNPfLRlSLFMMEL2NAjBT540BL2CsbacgsiRWt
wKlgas82PO3CpJfsEBdhJEMGAlW4BdRlXKax8nVvpHYYqH0VkwHh9hdWD5DOd7ceKlp7t5aR2QoC
scimCCRUZ87QP3T9fpEG9pcmw7zx/bsp3xXIaEuL1PeR69WoQ6iwBA5v59u1r5dqDMdUiIJJk0o4
SJLUAOZ59gznKqeEctaacjDrivST6Pg+m1mHTkYCNzSkBy/lKKMXgj9Gz0ib1Hr1SaqkZ0/4lLk3
au88eb3HjkOSYFzRFR0rVaidoXIXdclTJ4vYGgu3WQMsPdYXXuJfSEpc/Cv0o3iIHDV4RssCMaoZ
6M/IzLrhbe8PaR4NjelMnUY4LJKozRGgwkVCCqpb6lnoo5ZgcZ3eeczoj6Lp0WvjJu1MktgEHm/6
SS+1fNkI1MUEfK0SJ6Zwo93IhCYTr6m+hBieI3CNecpnTvaxW593LZ1tE6lBQY0xZVDnEBe/6Ao6
KrFvP+C3CiOgXDYOjRp5oKZh4dSfES8DHDQNTpO4Xsaq083NLlvy19ECLrI3aROTkroZPhSovwMf
sPCc/DNBnb2riXuRjZI73LsxcLGNknC0o7XoL0LQy4ITLjBCItdxpzV+dDE5aRRZl2aintu3UlaS
F1UzFbqBnyGH4sg3WrFQs5dCupRbLYJIcPa5blztQnKKBYcfOEJHExdWT7kJ57bzuuuKpZRigz0o
CfjoqsuuHlOq0HGuNBmlNlae1FxSwCmYywa7lRssZ+4KtX7yUTCmt+9+oIktzaBuvlATNK/jgWvb
BPin1E1w37s+WJ9wyqoIlxXYCKwzCAidPPzMEOrTEHVYkpsMgRci73wdCQOfsASqCqAGc1VLDqet
Ji0N9RGYgjPLDboqmN9xzNrWOQSxZlqmrYrSDg6tgCbbawonFEctoK5I+eoUc85MV88mTeRxOvZB
cyGqyJ1Wln3pxF6C/ONZKsbEs7UVYuWV+8tY1z8TtVtT0ndkbiwZS98SgbCcPjVAqmphBddGndlL
xNVR7O3HUAxJdnXPmdSS3F1gRHMvktHOtApfi409JxyTdG7KSM4RLp+Jek9oypgBWsDKC+DwWVhE
uIZ7/ovZoiAZ+ZIzETuhHBfapywpBxEuqT5Dm0a6C7T8ppDdKXUFwFwDMsiehwoZKGZMbgnZy4km
ZSOhbEY3ePB8sJV+HoWP1OoGyQMQdw2NsEkYFdkV6MIpVgIPRshcf39zUr8HDpoadFo2RNoBhgzA
cfj53sIFgSZlaUlhwA+sSxkgyDmIPYT6N3/c/h95+SyQqs+G2FMhq9XxJn+LTSed1+2wNwWCtlTa
z7DJ28um1eSpHqstOStlNEcNzGmISuR5asIxx7wPPr6gLExU6Fqit76244swj/xxCj36gpm5cmMI
MKGMeor/5MnPUqEhHk4Hf+zq5ktiV9VFjerNtWfQ8yqyqrqC3JCdAcAOaUZix4vW9M1mkP7u1tS/
HWiWThQHvfpuHDJBzyj+YxW//DHxqv1Q5K9/vEPQ0nYCbCFKxk7YjCNih6AlrjAUKJAQjzic9xG0
sjjiJzBWdVpcEqpofJfXNpY4AkxGoAJlchvF/FY0MoQb+zGBxvms0kXjf3S5te+7WCATs0aNJXUq
+d6fFfYWBnYYqW49+DYsEABn07AzUEUQ7AfPke/SXn9GPANoyme3gWgjCYCb3P4pqPR56mkADYSp
f9ljtEsKNW6NcOrY9ZXbiE+ZrMwDXNWpq8z9Pl9gnAceEfv19EIaTFOxLGuEqR0iZ0NqGfo5xwRM
PF2hIqdda9jJN5l6p9LNYUuUdedLS+mgS8EOhNm9KaT3PW0mW6dp4SbjgJ5ZWH7pw/vOyaY+5jqo
9VKkaa4MHOjgT2Kiol6zWp9ShdZLGd/qOAWnXTcPI5SrARd2sv3QdyCXTFt9oN6xyBv/JrLV+Mxw
B7MlLV/0dlOTZYV3pWMslLTwx55Wfy5zeAFm/gmFLTI+UZ0rtr7MhACx1vKrQGYHTvVS9cN/EYoM
UfKPL9IQDcjOzDXZ/C6466IcHRIRCFIIEsqJaYlhpgQu7IZ60o2BGzhGcHQIemMqYOWD+NX4X+yo
9HcPvwCUClgLoq4heC0q2nf8Ci+z0IWVPXuK/1SfppRLqnywk6f/hd3NNHDlG9UO8FmwMYzL+qc6
9gCHSLQWI11BsPFs3VGHmvV6rtOWV7wZnuTR1E76y5bkv0LTjSqaIyzRQKK4h9e0qoXRZB5j8XcW
YMuEWghsHcXqqAtjRZLY2gJThIushZwP/lGcVoX8FX1NxIzb/q4SvTmWmRIedtJHJZMvbKO9Mv3q
Is7c7DzJUmfLN/632Uzfy/e+SSUO2eBGI/EBe0L0O7o9Zclf+qVXzcW3L/RrOaLEVkWCJrKRHuSJ
my+2+ULvXSdc8b2rF6gPsjJirkIGAl+w+ZCghEmM5NvmxybJoq5KQBDM7Y9ZUYd58c9G4v2H/DFL
/vE67z3AIWJC4oQ4dhzMkWIMjyjhWzF82Fr2xsEaIBX8lKx5Ow7bcd+bLz9+/195xl/5nV8bBwOO
CxyQY4dBHumWDGUFaMn2czAMhjTS0AtQyGX/j+bB16SKy0HH1QHqexByDNoKv7IUvrvC3lIAa4NQ
BOo3f73jvSlgWEPMoZuslu0MIVo+raUAUvN7vNFvbwc6Y0BJiHz+rfcPHMmk+mNhXLT98XbMT2gZ
yIas/uJEWL1EXjzxALN5X0um+V97oj6i18BqMjc7Ak96uAggfREjUg0zTnQiGJZEOH3sMEjsBTyg
jDbAwfMPkwD6qI4Yw7c5cloLYahe/tpm8NM5gNfWUCGl0smWergLWLqmWrKsbh9+u+JOaAUofLcj
H17WRrphmcSdynaGHx6GBAUkarrOKJzaFrhNPBXC7l85Cn769mV9JOqUNGHCf5vie5OAaADYpQSP
ejs84slNgoGTfPRZoIwGQRCWwe4xD2eBYY7QvLFIw3djdHJnwa4KQbn6uMlgjsC4AnKFqbv5fDcO
xghWsGqwXLZzZTv5TmhHeM0Vjp4Q0kgm0ob/Kb81EKY8AupLeACf+cQioyE41uVjJwJnAhEg/TFq
UdvP4dGgjui16ZZOD2TzObkAUVJQ/T12NVgjDAAkeouHD0/giNgS/cbdZnF6q8BgTzzy4SVWgIFE
CoT/w6fn1atYRYMiOrWpL1GGOnbiKxKsAYpZ1GHfWviGgZupLktDGXfzOb13T8P62HBY4TgkKtII
/d9c/doIxseg5nC6x4AsHXsESOrIkJjqtLLfnAn6SGKMiBtPNT+UiFq3tYu/LGB+N0kGC6ES/asg
2d+cCfoIqrNM2WwXL5zecUhFT5SJ4Vm2/AEXq2PnBYvDItwyh+7/9nO4Pxpk1JqkDnCUzefkYkX6
PoNs01GBItbNg4qeSXq4fUpe/F7WYLA4RACplA5O7pDYNPuOngUyu8OggsWkemsWWBROSCsN1Ha/
/fjECgfbcTi2eED+jLQPiwx80xurAeqebCBtZYj6tx+f3DgM7MVjFwTNhQFoJokDxmxvJWwqSMge
wRvcDsDJbQfIKB0dMNC/1thnVRTVv73mvUEwKSKgugsUb7dbnFzouBPBOmpPVOjvqxSmgeAcTAFD
G3E+0sEia9h8Tu7p37Jy+91IQebco0jMGfvmhmiaI9VgnVFI2w7CyQXONP707Zs5IlyScK6jaSK9
thi/K6czCOj6oz67DUJOq3BiKjLB7LGBgTEiM9IN9I8OF4E1Eimkolu5ff07lbpTGoG3aey/vQ4U
gMUDW33AVe/tgZyEAI4H/M9uAZzeLgC999iqAdXkTfoMi3/7OSwgmpwTgPA0psGJnoavBcRjB4LD
ACgBmQeQzs3nMCygwzpoUCNycHIBMubyg+ziUUch0RDHPaINBhvd3iIwjZEF/BJ1yV2Y8BuL4Be2
im+QFKSlw5cNYsVbF29hVn72C69Qjh9/voMmbJQr6L8f/CLGXuvtvbdgjeG//3nQcdnQK/Z++Eq3
2Nxn9893D/jjrQ/u9fpUr3+58Nb5Kv8KI2cD0Nl9za3Y53/HL26++uM2X72sC/cAQrBpG/71hf7r
Pw6+7t7rf/f6eRWvvrqr8K1bbJklR9+iwEly/5tvO//HXhYJvFW+f9ltK/HYyy5WebeKV/sX3hWi
j76yF/10pHd1z2Nvcb6KouqP/1xF6T/+uFgVbuQdjBCVriFPOPYuF6s8BlUWHA4SJVV2iqOvzVIY
TFO219ks1W0N7NgLX66Cwl29NOt1enD1bZ392KtfrV7c7u1luu1tHnuDmxdcyw7GZZf0HXvh2+o9
dtbP+WffDpf3dpefSxUfeeEPK39VlO7qAFS1Q9McOyI/N70+8ks/INsf/nG9eqn2Z+AuaTn2Wz+W
5Sp/axOnxDXEhMde/+O6KP84W8fOKny92LA6d6HGsVe/WrGZs2GVhwJTuzrnsVefVz5XBzW1vdDw
vb8BEI++dnKwKr/1bo+9Lgf/N77Ctfc1+cLbXRYh9IXi8Dl24Kmj7/deIEA6TFI8NCSPvc2V1yf5
YTgwXHxbvjv24iiXvCNRduTqnaxeCMQG+sj1yuFlLFb1OvReR2RzUg0PQhX19e+GoPB/F5UNdxhe
9euVdleH4jKAhY4dpqtVPIzT64X2Lv43HOBXa4doctUdrApe8fDdSaeP/e6Tdeh+P+gD84em8dGX
/rbefs4POnIOjTmxXjxmz2EkvxmdAQF57COMXXdVll7xwx12+Pu/4f1uzplVMDzI6/fdTKDdHf6G
LeKco+Cn1/8bptDDmqXlfB/jA6DbFc+OfQmXqxfGZ39wIKb92MF8/zZvZZLfGP4/5pevyPy3/tlh
8jz8xtdwvcr/+T8AAAD//w==</cx:binary>
              </cx:geoCache>
            </cx:geography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/>
    <cx:plotArea>
      <cx:plotAreaRegion>
        <cx:series layoutId="regionMap" uniqueId="{BCEFF117-ABC3-4AA9-B74A-617ADC0313E4}">
          <cx:tx>
            <cx:txData>
              <cx:f>_xlchart.v5.6</cx:f>
              <cx:v>Surat 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1HxZc9w41uVfcfhhnoYqYiEI9HR1RJHMTZmpXZZdL4y0JJPgTizcfv1cWZJbypLLrijVN6MMRzgk
JjIvcIBzz12gf18P/7oubnfq3VAWlf7X9fDr+9SY5l+//KKv09typw9Kea1qXX8xB9d1+Uv95Yu8
vv3lRu16WSW/YBfRX67TnTK3w/v//Bs+LbmtN/X1zsi6OrW3ajy71bYw+k+evfjo3e6mlFUktVHy
2qBf3x/uytK+21U37/KdTkup3r+7rYw048XY3P76/tnb37/7Zf9D/2DAuwJsNPYGxhJy4DFfeJ6L
xP3r/buirpKHx753gFyfMfb4mD1+9dGuhOH3lv2vXdn8n3frH9v21bLdzY261Rpm+fX/73zIs0nB
e9bv313XtjJ3q5rAAv/6flXdyN37d1LX4f2DsL6b0ero6xL88hyP//x77xewKHu/eQLZ/gr+6NEf
EPututmVu+orZkfyuv68e0XMED5gruti7tJnYAl8wAnCjBP3G5b3++QerBeMerfSBewr/YjqSxvq
ZdD+9MP2wPsNIHlD4IVpujNG6mSn0j9bmL920jA6wIxxKjwM4MELPQOP4wOXIux7Ln78znvUftaa
l2F6PnoPl/DiTeECWy5Vu3eN2t3c6ldEBnkHvgcs6BFY+qfkJw4E86jAmN6fJ/85Mg/2nPzYnpex
2R+/h85vJ28KneMbqVPg49fyTNg98BBxKSXeNzZ7Ag6nBxRzjwLX3R8n7/Gr74/Nj815GZTHcXtg
HJ+9KTB+U7bagTYp3v3E7vyLPMYPiH+HCLpzQvB6zmOCHnh3gMGJ+gbbMyf0Vyx7GaIXJreH1m9/
G63n6uGJYML+gScI4cJD99N/zhmC3Qkm4rNHF7wnmF6w/fsH5v/d9Pek0T8slrTelY+n9yUF8hc3
KDsgwAtcIP5tBz4hjjuVBG5WuILcPyaPX/2gkn5kzXdQuR+2vxHP3xRtRLdFKh+X4xWQ4AeMEiJc
iB++vp5The8fIORRn3sPscfeWfmhNS8j8TBsD4lo86aQCCQElq+IhHcAUR4stEdeQoLDY1cwBlrn
8TvvD8MPzXgZgodhexAEf5uV/0dpaVG/opoBjUkYwUTgF0nJpweuh5lgGN+T0p6a+YEtL6PwddAe
Bovf3tQxWNhM7czjnnwFRoLQWWAfce/RPz9X/Aicu+8Sl0Fk/VS1gB27HxjyHQweB+7jcPimcFju
1LirXvE8YHGABEeCwkZ/4px98N3UxdSl/J6n9lzCT9jxMg7fBu7hsHxbnLS9TUDU78bXRMI78EAv
IeI/6CHxDBEBaQvfZ9x32Tc19fRk/JRFL2PyZOgeKtu35ayXsvyHgi2CDgQmHuSNXkwagYLChGFE
2HeOy18w7GWM/ji1PaiWbytLcQiyKk931c0jv7+CTyEHzGMIC/5wgPizAwTaymNwvCAve3+A9lzL
T1n0MjhPhu6hcrh8U+5lvVPVzuzyV6Q1RA985FJM6csnB+J0UMSgh1+OAn/KopdReTJ0D5X12xJf
61sFvub1DgpyDyhkUin2XtbA7IC6HMNZeYgW92KRH5vzHTweprEPxtvyMRe7Uhbvqt2NfUVA0IGL
GHLRI3M9d/0+B0B8F7veXuL73pajH9jyMhpPx+4hcvG2ykSb3c0uf8UyBJRixR0WWDyUG/bQgMQj
BPAUtPG9NN7LW/3YnJcBeRy3B8bmbXHVZpdD9eGmv71tXvV8YJ8BHPy5S7+L1ikWIIr3wvSftOJ7
QDyZwj4a0Zvy59vdTTru/oHaA3QrEI6gtvCgd9EzqQWEhTkXjJCHhOLeEfl5s15GaH/8HkjbtyWF
tzvQwtCzYdRr+nhxQKHADYW5h7IcOPHn8T1yuaAu2nPuP2nM93B5MpN9UN6WEt7uKtlY9XochkEH
E8og+fhixkuQAw6JYd9DX2t6EKE8fvV9Avgn7PkeJg8T2cfjbTn5rZxq9arVKXJAXFhulzz3KV+b
d5iLhfvg/fe568eGfAeIx4H7QPz+plzK0S6BYORV43Z24DLEIbPyYusbFLIpA1/jP7gad08E/4xB
LyPy35F7kBy9rZDkxFbZ7vMjX/z9RApxDzjFiHp3VainTsM7gJiQYwqp4a+vPdX1YztexuFx3B4K
J8HfPRjfbR64myGccOH7L0t8fAD6HkOyaO/wP1r6V1sFHsftz/ABuL2evJNdDj2nu+qPPZUn0H0J
baV75bc//OKfbRM422U7bSB393o7DjOIqSiU5cAH3r+ebzxwjtAYi4EFXtx4P2XRy3vvydA9cM7e
VmXoXOa5fM3uDQhzYbUJpB1egoRDTsL370Lkh7TeXoHox+a8jMfjuD0wzt9W2/HVrTbvgtsKXOUr
HpK7U0CR5/rgAZ/QMvcPhA81a/pYN9qj5Z805mU8ng3eA+XqbxP0HpH9s7x1cQu6JXnV6inyD0CV
MJ8RWPMnkPjiwIU+Dgwd4PevPT/yU6a8DMiToXtwXCz+rr/8n4VD3QVYrxjyYnLgU+gngOaOZ2BA
5dSn2Ifa3ANV7Z2Pix8b8h0oHgfuA3H2poC4NAbu3rx6Nzf49K8lU/TQn7nXn8qhrZjBuYEzcu9f
9o7IvVU/0TX7MjZ7w/cQunxbGaKvk4Ec96uGXaCBoRjqwl2Ih4aC53EwUBgUHAjxPQgCnjYa/KQx
fwLL40z2Qfn/28fvifSHW09PI4Fn7/iL978whmZZ7CFoMnhJbgEakDliHOrbLyrgH1rzMhwPw54Z
/g9f6NrzMU9udIH3vw/YIihBz77eq/vpp98Z+meXIO6RW938+h6KPRj71H0C2Z0Jz3b9QzPrS4Nu
IRr69T20gEAJGxo7GWcuufv//bseZCA8YQcc3YkzHwEhcohi3r+ramXSX99jfsC5D5AzJBB1GQbX
pGv78AgasGCUywhQKGyOb3cbT+piTOrq23o9/PyusuVJLSuj4YPvsiTN/fvupgizg2ZrkOsQwBMK
SWEOs22ud2dwgRLejv63rLymBPvahc31WnRTfZKJXe/KfKGnuNnS4bL01LlunTSYEEezTHYkjK0Q
YUYKPSNDf9ENqopUK525cmITZK7tj6rUb4M4rtQizuTJSEUSeL3Vl32c3faNry+RVBe8L8O6G5MT
nXmzguU6FI49w0oNm7QKEsSHyA6nPaviqCqYF5q42DZFtZFlZeYTwfFKJUkV+PVxSabxNJ3GNDA6
zNpOHHdlnUeo7f0jTu1MIxqoQkdgAotEP5LIqeOwzUweVVT7q057nydL9RHsh0szoumzxmuTtlGL
9FXvF+2CUYfMpmSYyxnOdB2M8XA0JH5kU/0Ju4RuQGksctnO4m6c5XXRrStSzTm3V0mmm5CTvgwk
b8eZG0ovLWYpVteVwIskFTZiHYkqv62PefkpY+yjbRwSoj6pgxWRcT/TLIhbhKK+MRu3GlTgdgpm
kJJ5UQ8f/fyi68bV0IxVOLBkh/0+XVmCx1DUwdB+pnUxhbWjbFAqbg+7yU+DIu1toJOsnGWlCNJE
ZIHuaRYkVTmFfXws47xd4NwJ5MC7QDgpWQscz0pv4EGn+jSgVqbrfGJsrvnxkBKz7sr+3KTTmnhK
HHNWtgGSwq6HPuNhK+MQtYk9LKAhJMgsLhfIHcmck7EKapKbRVxZHXA/Z2Hp5Pkmcwe7QUIfxdqZ
FtYTPBjroVkg4+LAYYU76yWmARjRHuokOUlU+cGV3gWjnp1lCdXzRByLxL1NCiy2Ke/dLU6rLBSJ
XvnlJK+adDrERLHDsWFjZEtj5pzJqwG1502enIoii69ED2gUVZg20ly0dR4AIupwnIZqZhXOAjhZ
em3aqluWbrekts/WdkLVUnXethxrM2+NzSMVu/Gm5faMENOf2Cy9NH0q5l7iFYtGtnhLrV0kVU+j
MR3Zeoi7YhUX8WnWuHMzjmo7MJRDUuK/CaBnRHBdN6OSSfpwz/nbj/+5qEv49zVp9N9f3lHtf3/a
Pt6v/tN3LW7ru2KE3n/THaV/+6z/xnB3HPotNfUip3+Hte+va3/n4U9SuscgCPh2A/sPdL5/5e8J
r38dec/pcLftruMSLqkAD9M7gn7C6XC1yCPA24RTH/rOvnE6go5a5kMTJ4esNbsj9W+cfndh+I7S
hSegFQ0SK3+F0u8qdc8YHZoRfcQEJM05g44EBr7jKaMzXTgdspmZK5v0+jy1nF/4Fk1tlEqjTvDA
azcYUOpGpa3qUypHL4AUXDynrslmhUk8KHZ/W8IXnAziPvTQPbMJDPKhqQhc2l2ti6M9L+N6HZPO
KPCsRlp/yPloo5iJeMVt06xIXJNToyoddXlHDuuh8hZeWZYLp+dOOFRVMQTjgEkoW1Z+MHx0AxSP
cuE0tbdJWIfXOZr6WR5natOK7IY4pb4ejB1noiQiDVrH0tBpncmEQ1LEM6N9eZ2Cl/qI7eSNy4yP
Ys1s7o2BwF0eZo7Kx6C3A1qpmA07TEg9J3069GEnK6cNPVLEKvC9zKeBSDlKAkgpuzcoV95FESd5
KAqZzKtUkLnJe30ii7wGfsV5/GVsOxq5Ve0Fxud6ZVmnjlWeyeO2ZG7AUm7nkNExJwkjcYRt5c9G
Z1ChrRy97VGTlAtpsiqqoVJ1mfbCmU/g108bl5s+HKAw/0FTV2x6p8xnfVf8DuTpRgPBNvKTHlyw
B2zGejGEDfWqEytpMmv6tpn5tsV5mI9O8ynxmLnwWreJhKxJZEC9rAXNk6Coeu+jyyd+leJRzmMa
l4dlqehlyom8yJLcuer7tptPgqqlU3ARxEPPo7ZusnDK3P5T36l6WU0unZO4MbNE8/I2Zo7dCp+h
IHMaFTp+N94tbD73S5tukxolR1NcZfO8FuqKx46K0swMM22ybuHnlVjknmwOXZLI88TG1SxRUge+
1VXUl0oux8k64FCc7KTJc/NRZolZVNrU4ZQkJiRDHc+yxo6rSbg8KtskPSk90YFCuNsABS/mretW
s4bocl5nLgqnnKURc4ZimygjFv3QJFcTdnAVOKgbtw4r6yAvWjyPSYHmuR2Gk6lv+402xJuNiXEO
XQNTckRmT2kR+wu43Fyf1LUikU4dG2RTqcMYMqxng+eaja9FNiNYejNnbNowyY0b4apl4dDKLlQd
ma6smIYk0H7rHKJelBeTMkPAuSxmNmN1aNOWLVmZkMAYqmdDOtBVo8okLF1ahllNdDikbRtmDcFt
kOBmOOTab2bNkBeHfi5MqIzDZyYz2AQ6HvM4KMqJ/F6hrDyuHYcBd8ScJIHTDD4JqnIsl5ktyOGY
+nEAiZ6uCWCTiFCMrVpTorqjYeDTost6d4Zz0y8bL1HrgVTx8eQWw1JRlG/GWqVfymSwcJJMFSIx
xZsR9e7x5JP2YwLsuxyt9heZjYtIdV2zBfdpVkWVpWs3b2BmoP7SWdsVyRo3XB6yzHhL01t7rWjR
ngFB8lVnMudExwakiJ/FoAxYmYaNtLYKTNFYuxoyT4GI9a0dFzw17TQbMwe0Uz1CBdkGXTk6JxRZ
HgeyBf29yBxE2qB0dauDlOf+QlKSXtFS1lOIPVHjoEkLkMXMawf+QfQGPiuNOQVhmFG/BLncgHzm
xNgL2nXVh1IA4AGiqamiSVROHXRpU86YdmURCqMms1aiHE9iLwNtOsZF0hx6NSt2vNDeR+5LvqyV
IkeUGmeLh5qGcV+UNOraIanmerDKmYH2t8vWm1C+KB3P7Ijjlwt/pPJTpWOchCxN6o91ldoFQi0N
026qNnEveTiWZbVKMXxi5OB40KGqpaQBKVrrRWXc02HFsrETm6aMUX7LHE/bM9g09HxIBJMBLpwC
NmXjNDsNu3IXx7j6wGGDr63b0NUwSGfbZ3YcZo3w6e1YNB2KWt2IbdJ1H/NSOGvjy7IGNm+9JpSd
Azq60DwtIna3/yiqvXlsbKXmWWHE3BQWf5CYZ5+mOK2duS0qWpwbresVUJw8V5PnXidJOlazCaUD
2XSlaL8kpSbuzOuM/eTIZriVZaaiuE/yaCoqslIOo0e5HPANwR1tAE1SLxNQtkcSsPw9n8BUNzbq
qEs4vo7d3tCTqSrEQufYPSkpa89omVfnY9m2oB+FSgPwn7wKTc08Cfyp3GVcD3w1pQkKOlryKwkf
tYIlUQF4Hz1dahT72SG07fqrNmtl5KbO7wpRXc3ygUh2BrwpP/UeSO4AWh68a+NgO9dWaLwyumuT
Y0tlNkRFl8mgHWlNgpqKCqhgpMUxG2o9c5CTnKa9138sORouqXb9i9qg8lAg7c1lVfWLxqRy3pAE
L4Xnj0da6G7HOkdp0CB9FuXG8CVNwKZxpHSNfMpDUC/OqTfiejGyrG4DH1ZxzjvHGUOcxN1lO8Vb
ByWIhHkGCjvIe4WPyiYtvaihfVWGU9qVXuhPNP/Su6g88TI9LibUpeuq7/2PPknK0ElTFFYlJWGi
J/+alpN3Y03BohrxdjYVNG0Dp8zkGjl1dxdN5CqvwzyuzbBOKK3SueryZoA/r9NX7krJrBMfkI3Z
RVmTMsCe7Gct2B26rCEzbLOmCXg32d0wxOCZUYbPhNLDzK2qaZ52g7fmUlQbn/n2U+L3MhJlh3ad
buuoo4mdlQMopLSLVdg4OAeiVZfcLZOlYHG5UH2TBCXNmlA5YzGb/NoJES8okEfdh7wek0CM8JbC
VZ9bm58aOI0Q7SzzToZ1Hq/Lkm3wqOeW2c1APk8J/aTGtcEqGszKbXGQJ82FSdhpmlwou+5bfVOD
j0TWL8Ja2I8QUIfEstOM9qHQ6WXVek7Q+CbCmG3G0QvxgDfZWK1r6QWFuqiL7eCcmzib1VaEts0C
O5qlX5CVX+WRydLAH7ojiLlX7tjdlDQNNRo2VPTBkAoVJiSJqsENGpyu+FAGJB1Cq0HBVXJeFc4C
9GYetNhJAh5v3Fau2FSFruOHLu0/ptVw2+C1IumGsF1O2Cqemk+oSNfYn4LUHwIz6lPY80VQ5+XC
5GapXD8oMhYI+6WhtxY8mu5PKXxxCy4dV2cqKYPBrYKMn3pwNKW4LNR5Yw9tPgUQOlwU0sB5/eT2
Q6TNSVoWs0ofZ6IKUL7LeBflxekIQTbxzgRNo7IDo2O3m5Mq51d0zMuAOf5JOvE0UG78pRs6HqQe
XcmGtpFSGXyLjy1Pw9pAakC1d0E5+IwFI4MJgFojygbIhsjPGALW1eAavmV9Xax13FSBC4ol0pIU
QScMHCXo8DjvZS+3nPXbRjsblk/1BR2ZjHyivSVui6VDmD1sVYzmukByzp08izK3cCNPl6dpKyEZ
MfpNUE/1FjkiWeQElkw5/hoa2pOAFo1OgmpM821pIe8E+Ru1Sw2vI6tHcSeW0sjpUXeUgtNbdai0
U2A4r2SoBxfXh55X8aB0ym4BpCK2EtuxBsXsHbWNU4VOHp80vb6teucEvH2y7FXNI0Ka4Sb2K0mX
WVOPtx0uCz+s8sT/mLWYhb4Y2rPcF3ESZHEN52j0J9iETdyCyMmo6gJkWHGRDxJ7s6HSbhYHHkjW
IC4Lr1hJnsJACd8b5jWE5n6T+ytoTmvmrFUV7LO2WfjagTFGejpQXeqSKEWp89nDObipgrqzQaZa
zLBucLdhXtqweZPlBvZGBWuau0kSDF3m+0EMaR28At+UesGUWttEPUnQHDJC6Eqneb+uGJHLiTfD
wkCl/lp7mTvLyeCY2WhzkMc1rlaTdevQaYya+fDn1SKuxmkKYlfFYa44vfK8cmoiNVBWBURZMadl
40eVJlIGNM3GUzVwDLtXdeBWBa0CD9csTLWFY9eUsB95x9PN4ElIhJS+lWHPJx0hr64/OGyaNGSs
1F2gAcHgIm9KDVZ47dnUMxoHg8HkCPIikER0m2SGh1EcehnkPGqnyE4y4k4LRZsyZIkLUWvPu6Xn
TfWCOTFZudwOEgI1Tj7VtPUjI2pIqTUJD0sZ+9sxLdIPSo1NSNUwzMusiucoi1saQCxkNspL8jXL
ld8FWXoX+2XKjUSS4pVLvREOvFeEtKjWRV1cFtBCu7Cxi45x4mKAGdRZXZfOxwnL+FAqCIJAgqtt
VviQD2SmX3uZyJegzqbP0jXDR+sW46JvuLsaUVrBXiPOFI495gFlSbMZ4toGIDGbpUOzjYP6k85W
+RlLSki7sT5fV1yqgGWxDGPEuxrCw87flBOo4QA3TrkEjSAirAXXASuyrA1gv5QW0ow9WRqUich3
uFzE4LfWdvQHIC9c5gtS1nglHP6pQD0NOe3bCPJ32ZYPdpnnNrT4S5PkK6z8ekadQUfVNNkmUNhz
I9CE6JPjF3oV2yyOGJu8i8zJSNBNPc1nXlnIDa9iFEyGm0DGJlvGuZYLPiTZpe+I0QSwg4BRLVLj
Mk1a8dH1GrogWeasvMbPIpsMetGyGuRjXWBgD42ukqmLS4gtqvqD32P3nEgXrRxl2Bw1nTosKxTP
YRnHS9RZ7yyfWqBcwiFN2knVLRT4mm1agnx3p6a/RghVK5mR5HMz4nReARPMPOuWm8rxJWQgpF7i
sWNB0wu9BE/rr1SaQ0ALydCQFCM/GyedRqj3pzAxJoscSePN4Ip+A8mB0Y8Qq2iUx2S48AeZfXKJ
LCEqzYYZEqafGWH0YZnkNkh8/hElemuH8jq2VfyxajmbWw8C7x4VXVgWHVqygesoMf00z/iUzrLB
lkthmAok1LQP86Gtln5p7CYWDdpKW5E1U6kz8z1eLAfIi35I4Y8YLhVkSg65QyrYpX28QVnDLoXn
4KMxi8FZxEO6aiwznwnO6k1u/WwKZV+xKO97vfF07Z8WxYRXRQ0Zy9rRbCnQANFdHVfJIXbu0slZ
MgxHEynbWYOkd5l7WbrJOuNdQWQDmoRZDuJu4mW9qIXTs0B3xLEhxSUChWjqq8lCSMFJ3s/TMmsg
nO3GNSOm/JyNng01aeVMFVm9TjteQP3A649838l+H7scL/Ka43xGcrAoqW1uQr8a6EfWZc0ik0yc
6qnj4dC4csU9CNdFnA6wmZ3quoszXQRgdbzJhB7CnNkWaM1hap4W1t/mWYcv/K4XswQn6awvcXtU
WJTOsNslRzhm9twDjbty9WgDN8uqRZ5XIFXdpmYRdOy4N45jyEYjVc+Bw53QRymO6rbvZrVT9kdQ
EMEgbFrw3gorHKWtAT5n5la0sdjCtOrZUJTJrSemalHKUZ4MHWvOW9gJ4GUbfUKk8I6LxG9R2HQp
C1hJVEha0geJ2XAh87NYarKJy8pbkfouHeKK4QM1fXPk0UYeDor4531WQ0w6uHzulT44DOnTRRk3
d0WetJi7E5Og2s1QQ0jbylOIkvW8LZS+cEYVB25ikuM8FniLpe5WzHr5lkJlK9K80ReoodWCZU4c
qcYUEXXAec9073wkForahUStnSVw733e67E5T1qoZWR+Gu9KHxftTJCyPO6KfLroEz4uXZFPJ+3U
Jb8rVmbbLs9WMWrE9ShkN4MDE68anDRL4ielCnLeoEMv6YYxyLPRJoEhU3Io6krtbHfnsRik95bE
kPaoNXK8ZBgSGVXbNqushAkOQKeRTHEXFr0Bp0aadO5MmkOao4X0WjO6/XkGf8AIpl5AmcJM7Qy3
slgL0vBLnxXtCo1FP6uJO0axC5GH1WQ8NMbJF6Kp1LIp+uYCD0X2Jaur8rx2iLfhsWBzERP2e5qR
6VjDnYBFL6X2g8F3eRN2NHVwUFUQr8zyLk55QGxP8eE0Ou4NROjtSUyIM8uTXupIxhYdg3xOFjXE
4ziofTMcO15PzIwkDU2DAfKWUNErfLtoPRxfIUguHvWqYrM6zW1U0qGDLZyCYp2QzNK5dozqthDd
dclG9qq4KlpdgiBvIVekHYQu4E+YojHAPM91UNRlthl0laz9uEHLjsViPTQTAv2JaAyBQE7AZaRT
ho7KHjsepP1IAzH81LhXfp2TrXLcfuFT5EQwL/SlgNSYDf27LRxWraRZlLpZfeIaqUDNEwfcmfLw
uS1xcliMGF8ADVTH2YDUQivZ37iqhWJWVpJ2XruFXwWtYvVKOr573pftyAI/uTs0NfiDHeLGn2ex
qlQAPRCOCXJ3AAltc2s+Q2FI50uTVOzKsXH9e4MVX8Gfuhou43Hsz1lDCx66aGxmydTwJTAhZHX6
3FEr1CnvaswFPYoTgw7xFGdH4BfNlZunZFG4OeiVySTyrB3aBEeuUd6u80iTBwmLvQgZkpw2WS9W
JBvKDfJUss2NdLOgGiD50VkuLhBQhQq9zmO/12NWg5rtimYO5Sb5hTqpgqJeXq6xrLsL0bpkqaaB
HlU1ox8q2LVOUMZFtiq6Jg56M/QN5FDj6QQj3S4r30kO86RyApv2+FxnrjsFFUGEL4jJoMrqoXI6
gzit+cghFXUoewjtw0GM/c00Nc2pmFoeJsrGsyJ104sBZxL0QQ6d/aFnJ3fJKmX+L3Vn1iMpzm7r
P3SQwNgMt0BMGRk5V2ZW3aDKqkpjDMZmsA2/fq/o3uc7Xw/qT/tiXxy1VGrVkATg4X3XepZj3zZp
6K7+pOBVEmbUl5Pq82Oqc6hElsv8qormAh19nR2ifNRflqFHjbBE6T7R3lU1T9Ewxtl4gp4xHl0f
DLs100NTrJvUECdUe5mbqX4Yt227WfI1/BYHk9k75etTuvTh2UrHDhtgi90UZ+6sJ91gzNXyuPB1
vF+XpCsBxqobLNvrkTkr9ltTq6pHk/fKSJvgw0a+Qgk3VPPgx71pNN2tqcMYgOWSXEQem59KtfoX
dsvtqUu1uqXzuETFgkeOysCZx75n9dMwGXkaKHdNYY2FPDfzcYXcOMgbSB45KSB2YZOc4ahgy+M9
zwvfzsmZTEw++hWikoUHw8uVzfajRcdjChpsERYPGsa3kRyCn9hgI1cE85ShSIJ5PO5c3KCADKc2
gozFUhMWdpn0B+1d831T4XBrrJUPTTrboyML+xH2k7FV7zfXopKmzduGLfaNwS9BAdq65k7NsT4l
TT0+A2KAd8pW5V87Z8KliKY+XPFQ5vDnlrhV3/C5m+IKb9UGxTiQ7n5BRCctcx0nv1rZsLDYfB32
JZHtRIpGy2kqF1fPb4sn21rUYKB1hWEVn4eciosOaDaWJN7YfZrUJNthi03nImgxXaclzM6WzKLG
lfBfNSZevwSiVY9xHLJ3SJlziq4wWsK9ojaF6OgJNCyjt2A/1On0AjFN3Y4jJXt4UvlSok8kdyik
kqdAr4tAncq6FH+2tGeWcvagWhMel5CgwUwbkRyCds1ZsfAkPy1Qh0ozSfUxB4l/dqlp9qhhgTqQ
2tSQUbZA/8hD79C9Jr6p3Jb3ssgW6OQxfER0BONYi4NyY/852Tz4aUOykiox2XRu3IqHzJYRfotR
vIYtEjLalY4F3hSt3mJbxHwTJxriYgV11tyMhBiza5MJ45r1MgoLWGOMn2K9bYd1CdW9W1Lx6pQT
e7vE5jEcNIEZE33tQxPcqREuvBIZheCUhQWYfoERDa6iGnPTiGtnnGylhURx7lHN06KeZfNOss4P
B9ILjqKXhOLM8pWpoocBcjMPGhAETDL6ZdHdcGAdZV+u77gpZDNBs87nLYUS2kLJSXjWfZ2Mrs/R
0LS3XR2rsjcYDqvokzPTmM4Wfw8iPrcXOUbq+zogszzNc3qUWo9n7FACns0UPmGds4dtJehi+96u
T7hVTJ9ZufoZMl5yN3DCINTMefSAO6X4hHTVl6heWAmNNXC7bWygBdpwjT4TKaPuwLGCQ6pSwt/U
aeRZERDbf2EBZMh8QRdh/JycaJe2OdQaNpwXS+ezmHTwYEK2bZXhqr4hPBGviQprMDEQTtMhXn52
fRLs56Crjx2aOwFpSGJMSstItBONXeZdAiV7h7JIQEKSWfyRbna5k46brnBRw9BhbjSCAEtqNHg4
7hU2VL0JvwscoXMxRva85FDkioGx9J3JtoWAx6apmMOskUWIvXyDctyIp9lkWDbyDC4RsJPQTcUW
9OKFSbbxwq3rdNwSyJllU7t5LLqsaT/JwLtyieCOLv3V0mXYmx77zrmocNkatcBs2MyruYk9LI9R
yq1UcexPQ6NyXXi/ke8L77uLmoOvBhL1F5xoFe8t/rdCLSN+amqnm9pvYig2JrYDqKrmUWtUOC1n
07OnLjnELmqPQ7jRTz9I8qtdkvEL1tr4tufOv2djB6po5GH+PK/hKCASLWtbQHDprlUmsxW/FqC8
ZcmnFat9MVvQvWxK2q3c4mzeRxMf6J759R4dPmpp2t3AYm8/0Is0u1EMUY3uacKEVpN8tNmaxVjT
7Xowi+peVKTlJbWzuGA9RIWX5u1UchzqeLBxBzUyCKg9QJKJJUSxMbpriUNLE449PAKWiaruVNAV
7ZBDGIL9mmAMN9tFJGN0M+LInJcx6OsWEko/oOaQ/U0biRmilVqxDvMeOulYjy3+aexlkUB/rHiq
+wfCtvRuXYX7ZmwWl7aLjS2mzGWPJJTgfpzh/jEUUf/EBM+fSUD9A2CE5GNz6/jVDrNC1dTwo8hm
/dMv2bzLme2+jlsDucCu0GbGZdwuo01t5dngTlBPJkjrNYVCg+X6dep95yuT+faLIb16cNDWfbEt
nXzt6NB/g4o2lUGGFTsdh61a3bzsJAkgTOsmoQ9oWeFmLnGfHe3Y6wREU77cbJhOj1s79knBu2m6
YXXA70CwwVyM4/hNhVl0HOTc3eiNDkc5Tqg3oklfTJbXleS1eVlbnd7OaZ+iBB5NeKNS0aH6jfrj
sgi3YoVK4ovutcUcnNVZmT7D0uGSbpcFUfetGU0KtbXPD4zS/guUdymKGQbKSVLl7qDjrLciIgYi
SJJXmcq3YxoA4Cu23FIojkrJnQrAJ5jEdXtueHvEPasbNyxXv9fovZOzQjWyrCQsRuilO4zf/BXr
i0Vprvn20poueNJjxA/Qb9kxd6QbCjqHIUQ5zUp9bWMg6HD89Zn7O0g97pgv2fYEJqbbpVkdPaPV
cPdmleNTpDuDmmON0mLI6uyZdCJ/a3As7Gfi4/o1v34KaClLV/aRkm/YsDxkJh3PR0ZoffSC5W8A
GdYbr7blPMC1q6RCq88Ua06tY8PJSDlUWHvaI1YJd1sv9XIaQtQRpeJyONnQmKHoXIKaQ6Aw22c8
Wh+D3EW3C6QOaATr+gwFMyXFsq0wHbDdkwtaPMlQija86pTOINYRsn0TC4XlM25ZfqOS1r/Jfu04
emIv3lHuQqVk2p/E9dzlKiMDbnmmjjzV2nRYTtsa2o1mPSzoACQFMm3hoVkM7Ks5Wx4YdMukCOI1
BHLYys8hiu2zUqM9ebLW9yY3jOG5dP2xn1uKTjNJfkXZeFUMaqa+EJ+hpFywrlCoI8AqULgVIkLj
XECQoc/9kgVHakA8VA3YvHtufPSdKRvvIolRXKhhDguaiuCWzElbpqmYSkyYrCsWkA2igM694JnH
LaTHrg0L0mb1Gc4vuiIdLLAsVygFD5SJ4ESZDO5oQ77pubcprGzIErixRD7xXE6HLuLrk6rFMwlb
UlrGVTnChzgRFKo75hp5nmTnvwjThHu69UmVDoKXLHX+g9TdWIXbIt/yVsPqMkHdvFuajm0BVM/t
oYFM5SZSSGOBCICPAMk820jRD7FF03GgdXDOUf+UeWuwMDf9+jwpOx8xFbqqhZ4Npylcpk8puxVm
GmfPm4m2k10xOgk1+U6HLNuHrervt1atpQHfV6x2SkM0BQvwCsgf2b4bWQCMEArcCNe7wPYkK8iz
4yHjIjgo6FvPk/X6Jp236SyaGF0tBMc6L2S8ks+toe19P2z5veeNKDHhxMEGS4Jh1y7jfdjr+F7l
RqTllmTBF1uv07xrNjG/zyurb1jXQaD+PxnExrYl3QrH0bGoNFc527O6+yqXkO+hC6OEVu0c3Oc1
tsDEONGWGUbWa0RW80hZQ26TwKJe/l9BDv8/gglB+UWA6/6Fwv2FJvxDSO7/oYT//e9+ZwnzECl3
mgP7A4QdA/kGOvc7H46D6RBGJhlNcBDa72fZ/F88/HqsIE5+ytEF4bRUnB/xL5QQ32LBrqd3ZGmY
ZhlL6f8ID/8rS3g9NA8ZQmDm6MdBFv6RJUxpgDIRQOOBqParQKEFoPzFJ9gZWv0tmGq0McFQkhVE
E3YgPzwPJkQc7V+P7G/oQXZlA/+dUE/yjEYRAfSEL1TJcXd//Awt8TWOsM7Tw0i6ba9Z/pmm4UXR
zO5gvKkq/2FdHQCvWwqPUMt+ek3Tutv51boKBT8aMpMdV/BXATyj3by5sBD8qnA0Gyt9CCw6y+JT
YoB3xVF6v+rukw1oFti2HmdIaiCg1iP4n6bS2GdMEFVbgj+mY39UUe5BOddduY34RWHFrd1tTJTf
XdlAASoZXAwZsAbybY969oHO9sp1gIdYT3i1onI0+PjnBxb9Gem/PjB8+UxGcWQxgSR3BUT/DenP
pwkS2dpnB1bTl82em2DuKxkegXfmxaDocQ1WWzIHQKIDzxVkXO8ah89PmLrVOZmAM3bHWXdn5ABw
SsU/vc0IoYa/vM04YrAnSIKcEfvTh5OZSWrfLtkhC4HmgVnfZWrZZ6T5EbnsBXp6U0aoR6DzwSeB
llsGPHj5588A4vcvH+H63RTQofMUCC8Y3X9/PilGRgvxEfLVwI5MujffSTRrY/hGR/ngRKcLEdY7
tci+/Ocr/82bwQHfuG2K+BTFvPnjlaHyR6Fvs/wQp9CWwp4WweTffObRinUmLTFAf191fw/E/N3s
+eu95lgNwBYnOOUdScc/XpHUEhkIBtCQNb0ujFxdobrlyeKbtf751v7moSKqkuCYGtxbhgPl/3gh
Fmx40tdZmmbdD0XBgAXt54zRZ3X7U8bqQejoRMn9P1/1N3D4T4sDvujium7GyHiy8E+X9QsdhnSi
6SHo0x9RGt93a3fDV/0FR0u+L2N26eO57Ddodx4K3T9f/C9UMyZaTnA4X4y0O3qu6ylk/z6QRJTR
bUx5eqBNeodZlpeTjg3qvyQrJjhtN27ayoBUaZfTwnoRHtdZi8MY3obTFyGisltktueEPreB3KpG
+jcbXWkE+PeH3/6+QVNfxmi0i1aijIABQIMFxaZHV5bTUwR99tBaiF1gjYdi4OWYCFctAQW5asUV
j5oa5E3c2xZIstMJ/Uh7fReAsdzPkDNKJAvKdAVkRZJ6ONfgZcQWqCPPgeH2HhZdJ6P4VA8Z5Dtq
DsigjQXx/cfQxZDd1s5Wq9kefOTJbp1IU/JtvGGr7vdqQXEHH6OBLIfFclCm4jqEE3jFshoglmt9
dQ5wFPguYdF75qfl0FEPBmeIuv/wnuK/WXOA1ifYTHFu9V+nnVOCOLaK9MAT+RmoQBetYVid2bn3
ybEn9iFZkq/ZKr/RsPu0xB+890c6zDerHB6WvLsdBv1AeoDnyGLsZ/BaueOvIv9FuPgEFomGScBo
Qt9nasdKCjNzs/jbK6F3eltluaXq4Z8H39+OfJCP+O4jnH4BrP5Pg29sV6pQ1eWHzQw3IBxKIKNt
mYzLvdnkHfQasaKwHBBfKBAurP756tcf/sdpB/YBhQcWJCQM/jLyG91MLm/z7EAH85IO6UOQywej
k5cR3TcUqkuj+fQfFk+sI8j+/uWyOA4I+TfUSimCj3+ccKaPwKcSgL80t9Ad++mihN3jg4RlaPpv
Y+7eJgC+BUpajfcRmXKFqX8ksdvRqL4LkXcq6qY9DGu3wj7jF1BMGO+3YZABjlhNAikGWzNOcy7i
YC3gA4A6ykJTahAesbf+EFDTlJCsReESdhdk89WhaXBFFd9wqV7miVTSavjBNboqvcDzmvnSlOEg
isU44Gmw8qRvIZh6Wuh1uK118BIn7AXIDHhm8dlbKIe0afKiHe0Tg1bbt9KWuvdvm1EB5OKnZM5/
CDsfpi780QZHAJp7Fqj9smCFSOemlBDMYfCdZjpMhzCeTTV0R3ifhy4f3jcYI4uGdkR7RSo9gh1M
2O216okSWURjPe2p65FFcAZaBjJWaYZNY1J1GQr/0SVoaQAe3SrSwWZ2U3utch6NS96ulcyofVOO
Y/et5xR7eO5AVPM34rwtRdjfddqHuzr+Pkz4jUiZb4MOPri0T6OTx4yh4QUDjgf9C7ISVJg0smXI
GQqpMXGFfW8nV8ggBqiZ9Le9g2EE+b8rSNN/Q6ah3a8FsPgQdFld1ZTuhsm+9daIki+o+9TwabLY
wFfqPqE17qNm2S1ePXfzcbZ4n6zrf2zt8pwnQP+QJ4Fi6Z+SAVcba1xk9ayMZgTiYtq9LgxDq5sv
joB5d2v3uVn1pjhoNbHuYErfxTmIz0T424WNUTW1cJKVMIdarAA86+yl9lhPSFI5uYAEUWO1jj6r
FhS/peuCd9nyI+dYQIzE9emIodTX84GEIyo1nn6PjFkKhZK0zNr5YwqGPRZmUXAQhSD5QZ+5F9gY
j73ybdVFeipAERZK4AeOgEBQDrxc7YMy4vm4l07+mNL2tZ/ypAjp8AA4C+8ApgMGIP4FwGm84/Vn
sLbQf5Yb7pPKI1aCLtm4atPtXFBNS6PwnjKTP3CYj8Xmhv2ccVZ2ZBwql4NW5JgKA9Nw6kCiFQZ8
PFCgBBk7LnZQjmXll+US3TILmilq1yqXc7xDx/6r6ee8iBj2DRieoG5tcB4WMEUuab9K7FuYe2Bk
I9Ucr1xmbVnRAiU8mgG+V+c5NqyZf7mOmChbynhq4J+l6dvgoODrBf17DW+m6IL+nAYh+nzIjztW
m0roJAZ0kNCCGfi0EZMVmB9acKlRHwNUtMEekqvYdVcHW1qElEaS65Kv/GcQAy/Et1TBDhDw6xIt
zwEgazDvyFomTboX1x0VK3gBdy4rXI8yPLan1lwy+ewM/ZgaxCTnuoaB4+0+WrpDq0DIBuOIdoRl
vyjU73lE6xJ20SPgIoAKPWZOBBq7UHV7NDUGMErNpkA9gCnPMJG0fkiQoC0X6nE1gpKiBkQIGBtO
pQSnKiJx5GJCFiQqKRC0cPFyn0PzgcyjX0UyLZApcP1cm4fwqvRLVHg9BnKj3JskAhSTfug7PCIZ
9g920rcBDxF/RIvm1Hhfz6wrxhNP9HoAj6gQZthOaRRPwGeVq7RC+Qs3vDTz7MD8zZDkg7deTlk1
eTEC1i5a3DTRGs3WdW/tA4sFSKGT6Xp9TjAhk9qcfR+9j0sXlFjXP7TGm+kcCqYhd3BGYoZ/4N4W
oAolzp0q4NTLvQcKXCCOcqNdj8TmGF2W1sCviMZXDyLksMkBjcL6FntMRcWR7QhCe4D7dUAHxbG8
DboAU74UM45U2GmL9021hdQ6fOYjDKFAwE+cLFQcUOJZNaxwXPKpex/B1yFcsoG2XNW3xPoiZFNQ
ENqbKrDyDgPmqe/B2ULANoh8HFUG4iJoyUvAp0elUa656yo14RcOOxvYX/sjofB6AK6hsLEnNnQ/
4J/rAjElMMyL3v82SLAxOawB9ElPSBcAvlvC9d7CmCRXJ0dbm1VkaB/RJgXYDlexg5t8x6Taj9Qg
DNCD0UbIOj+Rjd6BJXxIamy2NYosFD/xcTC+CuPwTonlROR4nyTIILeszARW0wUslQTPX4CJec11
/2iDrVjz7j50UXTRZO2L1UTjabBIBADmSnabX5+RJUOUW+u0CGDalDFjrvI+elNIhwHx639CNHxC
aOH7GjdfVduNR4EcDkEKGC5bH8O4GL5DLMdOPGdY/+vpRgzrU2xBZMUIDqCkuGyp/eGMCUruowtx
AbiMK3iX2JOKnwIvSdVO2DIdMd8jvj33Qa4qv7Zixzl4R8y8ifYP3oCwNgCrihCMc0jbPeUCwxJv
c+9m7ELeVFOI+Y58wWUeeOVl+G2RWEJ+22KtxQAzZsMLNNvBZXmKNI06Tp0HrqTDcT/wfaB4AMq9
xZpP6a1Szb3MO3nuiDtJm6HSua7oaVCz0kYYYvOKiM0SBwc5YonQIK73W2BvJcIFzs1dwZokP9ey
u6Xb3QDopDApPUb5and+zAql8/EW3kn1ewVj8UE1z0m5edwMRRLahvqZcogYbHVnyKzvrcWjaAXu
g8XPXR36AumfDAbj0FRULAiMRWck3JBB3PiV29Aem3199hQ/ehnqXwjHPdVZ+8njAYVDi5U20/Ob
9airE3ofIfrfSPw8ISzyWmPfFxEc3DJucFXa98/jENwyyr9ziGcPuCKCSmVcx2ElVNRDSgXysBpS
Qa+H5ZOILzrZEOacdXMgJbKm+i7T8duEd1a14zKVHe+PLuD908LJC6xrYJ2CplWK8wJSPYQP8Rwh
LBQM/GBMM5wCETXVRkewNJn/sKPxWESycd8rB222NQdwgHMBO/hNW2hXAUgmEL2ujMCKHXsayIqA
OB9a+U3ftRKadjCsr8yiZvxNXAs7bPcTHFk0hhzTzM0HS+g9erZD5gJ2NoN6jwySjrDo7jr61kCS
uoEMXwwC7hwNAEk7QBaZRO+3eZCMkWlOtL2RiXhG4ongQTThkZL2hJZ5vWlJduk4ZPputLAT/HxP
+hR7y9Cc8Ka3akbdvE99so8RfDxYA7Pe1hAEVwkcFT05WA2Ut4ncpc2Vnd8k1joxVovKyCFIcsQT
PTIzqDR3Ke1+ikAgFaD67iDb/JCY5U3ii6aRGC7a2N9ZqDE8Vw+YcYdczct+lO7gwnQf1dHDVs8R
zkLgv+D37aY1LaD99/qQyOCm0euDpMPbMoQnCTewEghP7KYcqUYv9qha7Il3XZnkiDzj4EuwmIiz
FhSu4+RIXGR+fpypemjidUbpKq+K/NsWb2fN4l+1uMqEl2GEdrOxaajqfHpYUdn4psfiT0oHOBop
vUWWYawEvsDqkLOWV2y5Sm51/kxRP53SFVs8JyPfrfF8zwyKJZzHsCNBxnbReVbT54RuqoqADV1D
PGMx4qSFgsctwo2rf+xHDqgBIZextVWg4qZcu+zFdWtSggfHoiVLMnGwVEvcgfh6HbM5uQyBkSVo
o0ujdLoj7pJFzXGaMRpDqgFSR7t+tggtAdauBkOPQcteEzTWpR+jL/CVjjRbP7Y2QU0XKV1lFrld
w9zt4sJfLnmZkVw+JYLe0YFDC+irFo5cAXNZI7czn5sYsKRWj7XLeRX3zUc3900VTggZpz14Nop2
OhqD27hGDJMHD2DgxjIKsYTSYbtJEvIaDug8Uo6ntAHBMs2rpMhxNLipLV1e40bYKmZTjvwBfhvD
fYMWExVz0IhzzSNVdILZPQ4AviAarX5mXjdFT5pLZM1JkfbR6QAeEqIDAvx13W27mC30rOeTSxfE
8+LBoTwdH7bE365TLfd8Cl5WlsFZnnwRMCQSck1+mt4hCUzqWwS70jLOY1vOQD0Cx26hViXFSLcz
McOpw5aCEvs5owqmZVM/pla8OAFw0kLOnp61Icsuytpo55ZvjsdIAap0P+oFoFkMgSHiL4hHlM0Q
YYIJmZYw+34x0/8IgvG2EQLMkHrKsmuVNG8orhgIx+E6enJE32rdPqMh2KnEsX2uEGxpBBatBTjG
nPWHfK6HIhdAmrLYISQyqaj023wiHogi021FNFKFCYFHp8CvlDCpikkDd7cuthXJhxfL/TONkJhC
UGvH5vyOm6UMOroUxNRoia5lmQN7VfIQ3il/xBfCPLd4NGXcLqixbmM7vzNLkxKzDYKUQfhyapO9
Gl0E4M/+YgkHqxWgxNmmlFyj0QDiYsjwuk6SMmq+LBHbg5WRVe63RzWlv0YJx7Aj6QXB7n0HA6zC
HDqEdXZZOcJoEN8EAhH7aOUVTLrwEHVXy8y9r8vRAehtGSKBS0sLX3dIJBAUIKgz64gA4vv12x+M
kPgqrzKkdfr0qfNBdoiaDGQsRRvW1E2OVgH/NwTHTdxP3C67fOQnK4Dco60vJBSAdgDk1bbzY1DX
Zeo/vM+3HRYSSBRISktU7jxAh0+m9aeegW6FLQzfWVwlDIoDA5D7rxTWORzhAmaJgqTFKnQItg25
cImUQlBpM6DH3eKfdGgABM/qPYVPK9fm3OUNCHJd4WwWGMOq/xnlp1k7WVrf3Iat/lrLtYw3e4ek
3YzYjz4jqoEodIZimSEBl/cYVgQwROn862gxCYNwXwvkiPr1F/XrDvEZ6II0fTJU/YTZc4ht9OLT
Zi7WaQT9HXyYxh36ZDllw1DSFtIkFcilmRoNZwjeyE7NMwIw9wal+4ioHDqoGY0cPleV54fOj8tO
tEYVBOfN4BnFYEHbAdNV6Htq+utinxw3Tw6zuST1hpMkGjT2OhUPFA7RXPv6cCVC8TCOCdiYanRY
DdbI4iZ8CegoKcdF5+iHP4H/F7mM7U6yJSmHrrtBt4zMSxTAi8rnfjdCG5gJkIYVyYWjb+D6jTCN
XSQR58UojP1IbpZlvXRiw1lEA0ewamSgf6TPy5ScMF/eek0QxRvWx3TDYUZBU84ONoEZb9OGgvcn
HHsl3ZC7UUgkQm/CNoFQCiQJc5SZOg7IMHIRPtZZhgG6mlMXsvsxvcqY831rXMnzFuG45Qtian0x
H3XmH+bGhuX1WwmKhbZv8VbvUgwfOrDzPCC4meoUDeESlcCzvztQGMiNdlDDVqRY2HYcYmztvfc/
lmb41WQjFA6KbXf5Ae+gqKcIs2kefxjWHmZM4nJKRIYMIcJYa0KPjqEnb6L+4oDGI2ukI0gaS1tl
Wwv2duw/UjQSybAJnGEx/DLoTQDMowYDjHD2G5KjoUDPn01A0Gk3XSbaHqSHQJDplpcmDd/nPn/K
tjArRwmoWtdppUlaV4x5HO+ALMaQZq5yiX6L9VeYDaABCeMQqviPVnWsaGh476MaPUTjiiThOyie
e9FuOxUSqEwCwRKTshufdiNeIN61waFuZW/pj2XEypT46U7kXaWtzG9ineAsB+FHrJ0bon79fU7X
EjtkU0DL2+k0w7k/U0HE/NhGAatyEzyCvv2GwEP9jIe1HWYHRL9efiBW321QkDjW9xFQ5Sbke0dx
RNUkB+x9gDVx9FYuEYFQd/msHuqI8jLL7S0f6aNhd4P6EiIlP4dxjKMyOiAJPMNma6o0MngkCdYd
hvB7gf33HYTVY9xsFDxh/A0H2x+QbO6LDYemeE++kylMELhUpzVFDKYepmO6TsOuwXFXbY8E5jKz
86JMUBGZPxpEYE1ogdnP9aPNQcfqLlaHeBXvHaQxxNa4KEEevQHUqeshR0ePfg4OEmzMiyXAgrCH
gFWNRblmg0UpWf/qZoaNIddonKcYHW/IT8MTH+JLsMIBGmQncYZG+k0Auyu1yl8yjxNk3IAdq13D
I9kh4DuVCOEG+2TCFWeweStM6cOGA8PPhFOJMqM5WR9rkHf+cdFbApK9u0tEuMt992IgTj7muPTC
XLAP00EfoI6WHUqiAzCMpqpNV4HTp6WOMMtchh3TO9/s1it2PZU9xTKH8DKaX9Z+q7OZniSim6Gp
D7CwcDRCG9Iqapph1/0XR+ex3DiyRNEvQgS82RIAPSnKmw1C3WrBFAreFPD1cziL1zETb2JGIoGq
zJv3nlTlazbecF7nWw16VUzqrYzLwG1pRgRHg6oIVy6yidj38esJ/aKsjtq38f+SmVZvQ1Wojcsx
H/soj3jAB0ZWqay3he04ITrMBV5Oe6jL9Eta0NkKmmWpmesZjgSsB5sBcZLi2oSdE9mj0URlsian
StfPjjcuJ+p6rNbe0GzcCodmtXdwUr2SfNoYejbuS93PQ4Esf2hrDIT2qqV7v9hM0HF2i7SJMeje
gUYCXSFFqi2Whf+Anusk41L/JUi8r1QH5Ka0yosEjrGIJtrCUephtFbWT64od3vLuVj6cNWuYtKa
/apPPwRXzG2BSy1eqwevGa+TBPkxYpYJ6z5pzzmNLo2g3NsdzBrOYRrVKv/L94iyWb7ryYhW7OAX
JINDaPfuUE/Nn56px2wvkcimIXT4dISScQ1spbPEkem1B4yEHJBn6UD2LPNSzidjSnaGm/SxWPxt
XQ+vZtp1R09596hcJzFjy3sJvevGMdm0vdtsPZoFwGNPa19OGx9LOEqQR53rPf1fEKzD9KJjbT/y
3Py6K7FRcG90xvXCwECOqDDOFtBEFZUOviy7H84mVtqlNp1DkOlPFlbCWWZpnGD/CSUW0nbRmWx0
1lMlnC+D0dc+tb7tgb45w+1YmTKBaiCnUCHzd0YS2vfeTzPqT3KEH8WKETExhijvxXn2Oizew2tB
0DOccxlxlXyogAOpVwiyMAIJhQ91G9vAB3iyUOI95p1VrYnY5AJBL33ORpp1g4uY6/KgKmGHSzM+
zcpWqMbiXbkV/lZ3lpus0vA8xq3qRbisk7kj+4TBkgD5zCDjDmWw7N/E89ITkvfZ5XXYMiwRIfCn
f/OSvriCasbLnzJgFdTxeRX1YV6XMuzF0CFJZ38Ypm+VxG9SdZa2qQe0L9wMIh7L4nku0fu8VbQk
IKrPMhE/iZ5rBHs0I/by6tLWJA90M1yoCPeVjdhZdY4IGV1+tx5IRFO3MZvpBzTodBvgvFw6d9k5
ZGfjmsex978UeT/wPzWffZTJbN/aw+sKvGiXV80BW1AEj7EJNc2n4LCdQyLNhY6/+5cTrAlhU1Yx
Aywqx4Hfuy7csEHb23b6citzEaf62oW+hzk9y+ljS87fGQgl9pjnIJ8f9LK59Xo6whycjFD4k35Y
O1q2MXdDTbfwWQ+WPEijDpNVe7JMLMOWn9zGogLLhFl6YQ48gvOL0C9uGUi+XV9QHfFy/C0XZTxV
lFBLCyyQ3AmWdjkeldPTlObduzTi0isnfsPutx6Trd5rZCb9P6Itpk3a8la3hJQi17f/2CgmoS13
POdqI3JP8NtSzy3MWkaqXsc331dSK9EC7SY0W3k1SZOv/qS2lo6+GjjNx0gFcGhn8wERfjvfU1Ue
8v6mcO41qDL1bSoNhTSavHcFxusu51/nFuunJvqV5KXrR3xrqILGme/xZk1Bhc6YBSfMBG2orZa3
U4TwtVrdJXSuWGg8BAQWJmzBR/kcmEF64g0leVoSEMj/YAZWRwyCtNrmfX4AGuaQzl2clbrBm8Pp
XSLFIgvpF9moV71tMEiVlA5CiE1tAnUsKQU7m3g3vmx9V5jdzileam+2PyZ95Y41ctBO5rQVffll
6tYfRjWK8U7Rb6wgfWsq4zkI0ocuc8cI4E9cJBNKZFsGyOHVznDsl7knDeOZv0EwvTaeBl6jQbFX
TgqorcnjdnR/C9sYNlYVEJAW1RdhcQcVAMuwZDCajY63q0suDEI5jN1iOk+Gc6DMqAsrtFPHj7qV
UeuSJIxSwWrtm6NZ8YIEAmxHWjp6bKz9vdAgQrLWXSiW+ja5JMCXGTLBNHWYj7MKk+58zktkXrwP
x9JZ0BySaZNbprf7a1Mkb2lfC8YXDlmZ+QNt/jrm+dFxE3fjz8FlhTiaqwyNxKVDC4bW2ult/9eu
qRqVV/RcgsAbRFPcVgQB/oWXfoE3FzRiuVSiDbl+kI3X9j3hDNz5iEmdVm7JTcIWMJh6jcgpVSeK
LWV5PJv9j9uvZqT0Xt8KehHDE9hJMzfitWrC3pyssN8W82iFTTn9cbL8cVg6GSGba3HOyLtMTHEx
hHkdZF7szIwWrzVfRICed9fbr2kJdGO4f6yOroV1Gvz0NSER6b6487RtMs4xNxPvWrYsh96oDETY
kqTl44jnNBRVp84IqZyvVspFOu6kN7nbbOY7nJP5ME3SpBSffqum4mvMJI9poF95FOtXG0OyVg3h
6ljTFpFiifpedBsUaVzsQqdPdtv3ynL+LqN6Jw85hoQh3tKGdNgwywcuZhEzxLoJorzQXBxq25Gb
u3FNFQ6dvEz3q6/Q8k0nnb9+NsPCs2M/qx4Nk5aC4DgdX2V1OMe3lGZMeIZlk+nTy0CKC115feqh
/QgXi4uxdJjsEeZDfQXggIdql4q4uf+Mdke2UGautsF9/wITBinA6+Iqc96GyYmqwjeiTjcYQWpn
T7MZIJwGyWjfSvovx3Z+KKbGUInpLTGWN9pOf5IwTAqf5IVJeA8Y67chDfrTBIRYalLNOw+anR0x
Hu8kFYYEhbJdaw4XqGAgE9aHRanDbPR62Hn5x92TLhAA1haDplGVhzGrwhQDFbrnKrYMcAJU83ak
iVnt73KoX5qaXzgz19ckNR9A7cF4LbFPtwmhRp15XVMz2PToNHkobkvQfM1w6VJ/fHdTHu2KcPSy
ujvV6xBStd04OVijXe8jGbtwsJgE1KBedcs8Z3fUYA5S0S6CHzC0W3B9tCjFPY+cYtQPOhrMRhFj
gNMYlpr9WtZogD3hAxSxmllA1X7oMNEaC4enA2d1U2n+l57MUdcvX6SHvrhs8Tdg5wA/wIDJ9Ok9
y+JHJuOl8KqtMpw9joKHylpJsLgBj7A8QuOgdiBEuMv7axfglqONs2Op9SdV6dzyGDaiceGfboqK
gErzLICabbQGc6Usre7gjDO/BrkOMktUbZRobYFtwc8zujAGkZ6pz8TTMUk5jhYvQWrhzX5M+wWa
SVfTiubLt54+ND38pwWRvNXsg1acJzwC5EDhkozyd+IjORiVVvEqlz7VnH9pRYJalJdYqiYCzoYk
5QPp6K9bmLgeOu6KanQ3sFcuCXcA0vkSp9OwbtvVW3gwmF5mevXq6JyfvaqKaKrkP9dNQulVY9xN
lR1POfPMoeI2WdFzwWOhNBEQ+LE7/+jZ7UJxVBzVmq4bwV9tdKkMIg9liN0iVKN37gqGNHXLtd1Q
XYnJeDIq7+pmXOEjwfDRJNq8LQvmeM5QbLKheGSY42xIW331dbXlrTKImbV8+3nymDUIsvYVxzux
gRfluBDRkmmbphK4DUM6cs6UpKY6koqCZWgC8tLHOpSXUnjGfmRcGicCvwuOk00/8IIQOIqSqvqT
TUjkGc6foFjfUQhfZ2qmyxxArOT7dmZI0UUdmZP9KPpBPY/qc8mSPqqn/uYuSOCOg2oqAHUxBXT3
eaddraT4mjJtOkrjQWsD77lDhsj67LeZ+jwC1xOuOnjSxHoxZzkfPZlh1HDpDflfMoFnTZ3YJigF
dKADZZpFXja/VrojOIMotk31rOswB9zpwQBKBOqkDLWeqItw9rn7VrbDFE4wGvyFOj25D7Q6EqOV
7lbbVsOhhAOp3BmJ6GJSmYRhnSIsy5x3Ty/KDSEeZ9f7KL+QpulIX7MkBffFQ7NJG486VJSMgPqo
XwecDlpJ4mKyFqJo9cWyi3tGtf3nzQX15B2lVXiE7tdGbgq5Xt26u5rjxDAQkWdoufazTm57KK2x
D2JkYy7poRrQlSZaEBMhZ9Nn/XYo0hd9dobIraa3tvDys0E4JRoUIwK1M4bu1Ik0nkX710wJgUNT
qPFOzK9Ch0E6djQ9gbf3zPrQyOEsLJg6GqlrUk8GFhmnevP69DFNsHBaHiilO70mw0/LJ82IvbJ+
tfb+aK7LM97ef5j8LA6GBi4m+PM5b15hcoP7tPLvZVZYNWacJ0b24i8UDoZgZjcqbN9FIL/WkavI
zZO3JEVOrvWT6ajnHOLKTiTpXjODbuMbwNSszsFwlWxd6dR7CKdF4r65GHvkwtGVJF9rZyNdNxm+
5Xwpt3maxunoPXSG+VYWebsh+48DLrHWaC0cdNkg9zb5mJgYIFCgU46GpK2xDbUWVROxKl54y+L5
8yhmNnVT+hsBnI7XhMhMo/XPAo0b7fU+KyC6bjJyMIV9TgOsM+YAZWvybRhVjHkDU9vaQ3Y1e/69
lreWYVHhzTBG3G488cLX8sjQvN9K4K7MLTBNy6QDjm/ow7EQmDDCQiVxkUHkynZcL0+VlbbIMF7o
tfzs8x3e1xIt5QfZTM6BNsaLMbx/SC19km797jklpcRsMPUtJxkmgJk2s90EVN6noAAXPqaehl65
aHHgTdtK789Mt/QrkucJpwntCbQu6abj7berAh4+DylA1TH2UNC0gKViHfWvYKAO2ZtLbGa4ZE0L
rl2Pxx0ZEtdEU/sh/Flmdq7AESRtmqhg+ggYJhOuP9dm8dNJT5w863uw1S4ZskdvJIDO1e20Bkk+
zkmzbabQk1MsPakQslUelU0SMjFYKT3dJZzskfDbmrzVTm+iPiLbgBPArYa/zel3zSJvg8peVQ/+
0HL8NqraC+nmeM2tcNCAEJ9GnCyhv3b6plbrHZrCFWxLzDN0IEi0v/pKRNXtzSul104jDr3hgs03
YNMujoRH1a7ACAsmR+SCgykm5F0fZ505a9Mcl+G4lvJrbPk0RVp/57piIqPauNcLEov9cht146lJ
u5dUMtfMtelUoHPP3nTqHHAr0NOoDTmNyy0jPGpU9Lik69YozarnhpjVnFT2nYPLM1OZ0wZr4fO6
zN/LqEn8KzhJYAzfGtk95qb1PqbBTq5cKtYw0ZZOVewbxsNqqo0s+2UzOO5NIfFs0Bs3JrmqzQSe
tkxxIZgTAXvpMnSxVqvDrH2cM3xmjjAwvzmzz+BFEBeADV35AfUYIcWsQRQr5/Ig0SNPmLd+vBlQ
SZdBSSVl+dTJudxIgKVbrfxEyGJK2V8Ky/kWJZMso4VPNTDpNnLhnEq3+pc21Yku9Tvxm0sN1cso
KAxMrlzPpcj3888hCw6qfZ3n5eTpDXNmp4IpUt1D1TXWth3+CJv53/DuYHEKEyQQQ2rXVbe/PQpt
u7jpmT6c9Gz4VZyH4aCqv6P1x0fUhhpnYYjOJnSpyYjVbNP06bATDHrpINC8j7GQ34u97+sOL5Hl
bVrWANDxqIOhGzs6RjvWHpeOxriem129gtODSPG5GLALsR+m0apZ69Yxy8Nc9jC15+K7LCgffR0f
BcwDdJpHwvXu0Xh20S2ZnFM7ssVh26926HRm+gJ4BwaDFtxyhqubSSAaFqbigcDaAUzAw1a4Vavr
bZrgTcjpjzbUqNpFcJqCNo3rxLlxipWcfvabYv54SAvEeZP+ukhHCIhLErtW+14uU7Kvg/UdsuGn
Ocw8sWkfhAavUzFQ5PdJGgL4OPChaueiuWeM/J4eDai32TN2avHz+oCf0qR8JfAybZxUEVbP+ec6
xaKG+dEotNM62O3LmKOSq0BeO20r7dI4VRy9dWu94t8JQrsn5D+ZDAab4riUkEKwjQFlMRDLbV5X
TCnnHLWQ1O6iH7X1vZfybogOa3nTk77cFlOdn91FBbjQoFv4ThvnDHfGRs1kUumvc1Vei97610r9
n2JymRh4mitYCrVxMGWcLZgJReDjW02l3LbDnIa9BoUjde8OiqTeaZm27TtjfGzr4sngsGjHErxo
jvoBW8kqvRvd3gcZ7S3O9uCoVfVRJvUb2jWDWy0N68atgSq1T0lmHEHTMdhvHxI7o7JJZvjTBm0e
3kQ+n+WjtMY1RKp+zwY6i2B14yUPnYVuGs9RG1u1uAo6bzjISYRR8zIi5KTlHpY7bXvwM4z/Ghl4
17HIQ7JUT63bn7t5jZKieq5LqngBuiADSBEGVeKBz0wuk2OjnTEvnQZD3dd3PLZjftKSakV1sI24
ml7ylmdkctGX+uzg2Y63mdduR8G7MC3wxtDLceGKyvr2bc2NcHJR32YI97r74wdwT3HxcUAYFupF
UOzLLNE3fe88FP1KM4o40aPfbereVLFqTTKi5rbL/fH+goTOuIi3RJW4ol1P7Inw0+S5H1T9zTMK
fL50wWGp87sMqB9Ql9qQaYdzGE1EjTR7QJKRpzKHv85hpe/0YtjbYtCestrJnz04CZlNa1zif98n
Lj0TI+8Y/pLHxLtkjpbxkZX8csc0US/Z3L6uZWCc/dpjPtRUM0YGk/0g9z9U6clDnSQERezg4oOI
vRTmeKwrbTkV8/pL7DA/dI2c9tNs/vEpw04UbvPJ1uYVWkDOxT7ja0t9IwUkmpQvCj0VXnF/CQph
302CINPtm+Ba3LZNupwqjEQn6TrvQym6XUHM9pzZtcKw1eRhAbFq51jZo15+kjHGJu0rjZnVGnG1
QsZ0cxjdZomjabKvSx8gU9nrj5s8BnbyBRm9OrplFjudeEz1gM6m++uz4nWj6xkmlolhgYTdhJ+3
P6+ZgdDKmgMercQLm1nzMSAfVpggYbcwK9XFoGPgt8LFTotQ4wqJ63TMz9JH0aZoOmSGfcOo4MUJ
XwNSa/3CvgJzi0Ruxzmvk1+9BD2nMx/DZ7/UWSwX0Ai5aqKUnT/44Kv3TL8lNBuRdHzriDgVab6C
s6yKbwXqjD7SWMhSu99K4gzCj8v6hcbkXslZolIU3oM9OU8DzsS0Gq6G/pm1nLWtbnrh5JIx62rO
nak5tgLFTcdyHHZ0+QwTuBprHflqrMsvm0I3B+bMPciv4vqYp6HFnmXibiH/u1FbVu1Jb1RI5vPZ
wU8Swit8mkGs8HMm4mTkJG5IHUBMXYZ8p4LkzKFMR002kiYNqVPCK6D2XsLB47/FOiIt6hTt6VgE
r0FvGKBAK5Dxk7ZzfDwlpj2/zS3AhdxkUq2nQCjIh2J2culmTOlgLF36B4vstNeXIHlFGZvVakTF
OqqtaxN06B2Ar/aIOz0TKT+Rnof2+Gkr3GYm9VNVo5MP1IexSvpDRyIpbJwD2qY8GU57huW/Hp27
5mZbxtmwJCqoQhu5G7wCIMqV42kxK5nkFo7temsS5pst7rxC8RPNYxBh1QtaboFRLNslB7zei/U5
zxAizXGfLfzmGcSLHc4YKJ8ZE6FEPfdzJjeyyvBYHyaT6qKHCIp+OB/s1d/A3z9YzO+KRWmRMxNP
qczmER4KFy8cSgmBk2pTcPutOhYgpl3Qm19Jmt2JwyLdShYnceJLIFuA/jS9T+g1im03qzsaL7hD
wfK75AVFPGF4DemUwWUnOCVVv0cGRuFRGHKIixa4hHRKsREk7JprsVsOUbdYBlrWv4QJ0k7eZ5Fm
Pj4GapY8KjXfYDURLeNU4o4U0WTb1UFvs79O1spLVqzbYVzyg2fSSuSdXcTAfA4r89z9aqX1Lq/n
Px3comY1X3VDPBXMBXaeg+LXFsAdydedjMpFx+tTCgD7TzFMUeGwdyADwITFGH5o3RaP5D1CF1Mw
vqQve3YQ/x6FFhA/EedMSzn88DEmdvdE/0KBa8uo1Cp84LbFK2ZeE+iJK5xIMGXa1lgfaMXruKs8
G+MU56x+QHDFMWQ3Yjfl+hkl6VzONp1Kv4rIDbojZnXjsKq/LH0Ilxak49KT6hCeeC5bhpc+J3XI
Zo+nrlmfTLsGrpcY2P00JjMOawVgv9t2jqdrflgIWVIdAD/zy1vvrYxtzKmITTg8d3CFE6PCzpxI
SkR2r3auk54GFXhnn2RcXIEwxupQ/KqOVENidQoeCFnQ6pcTM79TOXcFvj7Hy7dK6XjE+jdwP/Qr
tvW2stsBopB+25ke6mo6uW+c67tq1EToLl4W5QQkuUZZB4XPMcvsbocA9OBpE4TCTMX1NB3z1r12
s/9mZ1SBRnv35a5YJWVBeW8rbGi0+3HXANe2uy9nHSKbWcp2JACGpPIrhey3JAidjbJRMOYe24UK
ygMDdPy7tS+2y3KPmY771EcRv0eJMsHmEA/6SSzc5BeC2u+9gp5LOkUM1+mucDB1JWkblUtB1T7e
IZnUyeuqXeva/Fgx8/tdsOyhdVdkRJkTMdO3MXYVD87dXjSaBuzLuT3htybxmTURz7RhOctRzOUr
KRR1lujtNZuhX+GyoHOnD4Zs+qNpB++C2aWy1Bqy6ovKytU07KEbS+9Iot4xn9Ni+YR8/vk6aoHT
YyUP1o+uZy7S9RSNrmuyTKdeHogRJ0eQk0+w1G6jQfxUCu9Dn8x/gY3cYvWYWk1QxgfLAhaU2C0P
0UI6SsNI1aEYg/4Kp3Z4tAzQuU2tHgfRN8wi/fUm8bzezEKwrCAvjv//nY+HKtTGFdrQ/zVdjfl7
tB0CfliPd4Wl8Yw23sdCWu8oCCU9GmW77hOYMuyt4S1bA0zQtbcU51SjfdgAW8LgF/hHYCbZZTSK
ORzZ7ACg7cG9S5omMe6/IFU7W5+OBltItk1P29PrusK65qY7kjj2cRJOdyGc8cpSnq/ep9pBUKpK
PO7/Kn14m8EK/qTeQJmmt08c/VC2IMDEUAVwQhsYePv7H0Z71eukPI9teqUQ8falRsFnNcGrXaM8
Nut49u5/QKG95KKvTg1I43Bkf8axr+AbqIJB15o1J3hKp6Yuik3iC2YzAOXsgchTJ1xcutUO26YR
TU5eMlHT/G2BpsNyBAxytS8TgI+opF1ZorcsFBe5w6FiXdhe8qZX3qnG5Gq4P6DXqkuPL7/sKoQ3
5lX9aB68njULc21ojHjyLO4N/9/qFX9qfziKqr16zJRvkzXiVIRBM5DwinzD3mk5g9U8ZwRTXjMc
JI4veNbk3Wk6W7xUWR7VWfPVLpgQ3GqMdBxYiaKyWdTI+J3dc9jSq+K6lsbI2Dl7TFsmKu3IXet7
bvmqT+DbbKfSKCiZhhUdqjuVjaDeWrPb2PoN9WjzUbsmoL6yS7aDYzZPvRMUoaEN4zdA373RtfnV
XZx3dXFT++Ldy0fjlazb8xqY22BC23SBJ6rFexsaY438ZrxhpNoXmv0MIQeKtEtJsbbN69Dbj5mZ
YejJ1K6D29xUXIeOCufAOuGi0VjCh/ehLgGPdmoM11V++UZx4h6csXJabxkaX9jo1rxPq15GNBIM
5kG6JWbcmRJDDPOuZhl2mNloHvgwOSaixLrC8rsG/MSbQGEQtTgWnOu9W8h59MI+qI/4oxhmmvqh
yEqmkcSYgBdaOF8Jb2u1f2r9OyjouTYNPn9KzmpEVFCmfHJ9jFYzrTCcRlYr5aeepT+Yeaarpbm/
Cs+yxQsh8PjtKwunh5Pe37RUu6zs1IGzbEOPZ/xQTNXDOudB6E9Tc2sWwQauqfg7dTwBIQGj9sBw
Ow0gc8wM0jWy1Wx60kJHNp+WwAMBSzqBa0/dPS4M8mDhv+As0a5t3rsHRsxlOepkurBA9W5AxV3T
YdQe2kj31mOM/9Aq4JGQSrujybQQ3tu1MQ2MLouthcJmlFjajxApfMxbmCSlYZ/nxj1igHNOi+z+
ZrwqETUvnizOyIRFfAg8OMXX9bEufOYpHnEY9htkcQktOXYwnxuBX8S6wWS8n298rQ9uj1WE2fiZ
Ad/zuJrBvrfVo1I8th0lAc2n0k6WMKDL5p9Zbf2dR07qoev1qzF1TMjvwHJ6iAt32vpwwu6nIkez
P0ZbfbfpfbqSaPK5YJ531gZ0xNr/pMrzvwv+Yk5aEwZ4JXcZZ/aZ+EsWAZwMsC85p5n3hd0Nw2vm
YZcu/Yl2Jj0zZuEtSqBSJk0aDmYVRPqs7xt78ehRrLDwyU0HI3j/qtOHxwVUy3ZlHkMd1KgTIECe
S/c7J6jIu+gbr2SYiOCgkDg6DjMYE5vFtsrHlDR+1PtMFNZZ3yX6Qq6RUdYIThumlxt1Eq98a8JO
heyPMzzHbpaAMdxaQYM9UgMkjbW05RJb2ariZ1ewHwZ8LAajwTo+UpiiSjgzdSUKb8Plw86e8ZgY
AXa3Di6C1xsnv84CdnwWNy9v0DVBSUGSHp5dGdq6l1/rcaXUrP3qSXgeK4OGJdQN8LDzimHcXL30
oFaSfasN0DAfKSTybC4u3GinUlo1LwLtK2cPnLqRcLkKQBvPMulPejpbG4ijc8RmDuuUZciuBHbG
J7dwzgbFz4aNB8uru7r6xSn1fy4u/WOyukVsl9qnQ5tyhfBpkmye6SO65Wg7HUfUfeseGrIJSo7p
DSt52vTIGLsmvSsTBoXI3bpMposv2+liBy2x+fFQ7JsEMFXftpissl1WE1tlpj8eO2/YSs9Ojmrh
yCG04Ucei1ijxRBJODSV2JkBtXmAqLUBNFZedXawVKN1ZmLfHmeCQMFYTmfwZ+l5WMtTkQaPmqtP
Z8/oH1ss7odSGtQHKQm0PNvRDHDlUINmFTCrztd5W2T30EwD9TiLXMtgYkbAUpHzYIhPRRTuYCSZ
Hls6U/geO1WUAhKOdJyt0OvX42BTGSW1d8LJN1HS2OIg/qH7ZrhR249FZuWzdjFAxh17Is20nfg0
CINiUuqC34788oMAX0n5i5Veik+s2992aZVntSxIUmYJasiYb00JFHie82RntQOzb1FcjFQQYUq5
vZdF0oeAPM76stv2CwN4pofLUXf1U4WDmtR/IegcVXCyLJJEmllPFB0cQ3CZgtAcG/aDmWPB7igO
2D4XV2jW+kV42jbFS4i107jUd59wIr1uxxIVImz2myYY6JRtvg/M+ZjJsTwlQ/85sEhrp9jLVzN+
uWgBywcWkxhW/zqbixFxLLehJ8XZUerLaafYsyCnlY3JvrqEtB3dIDzhWsdL39zW7g9VKHLugvEr
c3GhFg7PARylYXBx6zfzBzZq2uG2eG6n6smQK3ebWTBhZHwSCOIAecbVYNPZLOljPXCTtsbsnBAL
NhMp8q9Zt39H13G3XcseJTC+43RlRzbq5TyyiXb8tDz3wCSM1Yx8eODetnbPYNz0+Xlnj+Bqn/5m
brkn7cNdBvjA7+momXF8No37AjXoOhQisiQI0gkHGnIt+3VER8ky9u2PK0gIV0b9gzAowEpuHbGA
3fS6M9aCKhQ5HFX8lSzuQ9sw2Kk1MtkOi4CLNmcpHZsOeELKiroBa1rZ4wMxmH3pw3Tth+A1C/xm
22JCngUpFnae0GF7wAN89k7MTcuzY2a3FofqRAiHlYHWz+rYD0A5PycieqkF8LuxHudh3jQdNPkS
80WweC/3vTyBp54slh6WZv4HevV31zFTZLIFd9HAFzD0fwz7EiTjA6A7tvkF/L99M/9ZrZrtygDP
MfprHdpVL89JN/HZMK3fDO3AAkV2o8zugeTth78UwaYzPYHnJXkBugl6HGAkC6YBFg7WxnaXR9oZ
35nOvJ8HXU9qpteR0zFScko4aqK8p+s5lXCnY9ON2H1wttvEjQZDY3uwRkrAMl3klXn48Oc5/f+p
MVe852oEpt29+ExoVtyQjQ2Jx1jyI+EXGL/MN9vZYxqDK7q9k3GDdAg1R6N9rVeFI4YFGw33RcJy
xaJFhtCwxGa0BhUzoSg1XZ8NIDkJrLG+iexNdSvpzpEgeSNX3AkEMzda4NwZ8yw7AEFrBM9ePZQM
9RjG9sK+Ywb8Z++o5GFpbR43g0hY5TzClrj6joMTUEeVa1jJHUN8MFI2s2hu+mJ0Y8vsC97t5IOO
1x58iISoPzBb6VEB93zZjPjJjbDfx1FQKtmxUW243lLaumEn8ydIMWdb89hnusLyL93RBNM7Z48D
ixmnHLpAW7EE2fCGkj7YdACZ1a8gUuQNKUn39fvFSS/IFAVifH7TegtXRDZqUZKs7RZgxm+nI+7D
/Xgyi5aKzNMoUotvd8JTYDb6vSooDaQ+ZR+ofIjt7GlL13sb6p+cbMHOz1PCjrt0a7jz8FLN637N
hkdqyreRlybFYwqtwKFGZmnfns5OhP2ihihFlaIrLBp0VVgHHZ7T/6g7k93KkTRLv0oh98w2jmYE
qnKhO0/S1TxsCLnkznk0zk/fHz0KVZlRheh1AwkhPdwlXV2RRrP/nPOdizOM5K4gGbNV5S4Ue4hA
Pv45xAkVdOMbx78VFJ/u0wntexjtqzxP/YNrtfxcY35s5WONBnuc7YpACDhIDGMY5TYyxPFI/sCA
4m1bpMSgGVTMElHa90keqovoxrOdQJ/8CdD7wFiQrKDNLMD17yyKGG7cHFkRB+BVYlRyWkLQUSmf
a4MsiJIKLjCI6xEHUdtH3VGQYbki3l0HYxpWFbmcdVu0D0udT2uLbZzTdztfRjDZxjReI1oP8q0g
o1EyA91Iiwhxf3Dt9lGP85PDLG6NcevLtzHlmPVzr0ldUAXBNZo9jhpUrl+5m5knOeYb44n1rETR
CV9s2g6wAQv87nEdrmkWmlnhb6QwflE3YyyTgs9O5KeIyF9c1Nek7g+ynr98Oe1sHKOQxtJfospv
Q6I8NDEQLxcGOUj0srpTpxaB9iK98E4xU94Dgb5VdQM3Hv92FEMn6aAdbxpmRifzHUGXvf/Yw3ae
u+BCz8pGW8hAketQjshgDgCf157Hfi/T9s6AtvOctUmymwpkwjjlk5NoSYyCur5lvWGjgvsTsoII
7hILmiinjB2Y/2GF4egtV0N6tpj0EnzwjzPYwz3olLNviOaosjw+FCPDJ6f2LxJtN+DcxqlJiZPr
cvqQlfU4ZUIcGCN+1lGzmWC2b8LRwaeHq3lsh0sfZk9mGZDLc0fMAqVdnR1KVY+jUyeL+vadhAVH
TyQ36AWUTngoYY67S5ra4r5ZVDocdb1XrqOaE7pJ5dy5xtFmlRiDtM1vKeoGEKfLWLTz0wd+1K0I
lk0bmcVD3Qx3zImpewMe4Ppxcpf0D0J5wVHqnGuSUjekxcw9QVYvt8qm8b7Jyo03RfmLGVhfovFP
eRBWzy4OPVv5E3cp5pE6dclvxXbwxOZ0o+I7twjzDwFlZa0opTpUY74dkzRbns3imDXZvB+H8FrZ
Ij4mYWSe52k6zprfBeQZdxe7HPMm8qxnTL60uJZ3vu2dwsl8Y8rQ78OW0lR48Lx7PmeSfppZWnHE
LThK9vQdbWXkUZg54LdgPDSZ4y87EYdugcgGgsUTH9PZ1DQu5sQDOwvSoNHREYiICTkkg9DR0vHN
XWrVGznON4NowGNEKtzzgvE7NewcRLaQrpPevZ2cZj9CN/uYnfjgAf5pOjmTu5PTeWztPRC0LywS
4wv1Vvd1430xk5z2fpa9hshCq9CK02OizfuRxfpk+8av0Wk/i0aOl3HU5jac3UdO85iS6LO7HSPx
UzqcTlqrRN7qfRvrvlgSz2S+G7wKJ23m65j1gnicepoAGu8cr9qZdeTwMOnji5/LF6N3o9twuh0X
i41ZeXec/3jKJeWInyBLQE1X+4z6wF1bLQVsy/4YTA/tVQ31xLEwPJANDOxhv5/mrolPXVafurp3
roKrfSMLKTcKqr5DDfG5pxPojw8FZwC0cWO4sSRlYfinvhrM+a9ekrnrDPmbeK0LqZO0fYsFZkPj
RfZoxehwVXVq626Cp/eU5ml0jZcPTNutvJ7OHtfonhBXtOmCgOdEKvMnv0X8BVIUrxubbSOFETjE
g6K9pJrYbum123Fovq3US49NfOsaAbGqWv+MirYhdMOghlyOTaRqnTGc7RpaIpDrngpnUY1G+9g0
wJWLZh63cF3a27QNP2suedWHK9uxsWIDc+jK1KSgM3jWCa3qmsSAtrFBML3E1EYjEbUru0Ebr+CP
4kS8Q61OEdPnd2xtX+QsC+r0cKsIf9u7GisK+8u8Y3g/RO1WR5TogHLvyT13TbYRFreDmNcYvMyf
mGQWTeDEA35x/trTz7y35cmOQ0DzKd1WGRwKsvt2f/WThPYqQnFOJJpzFql7w9Ycq7rI24GUX/iE
+mrhHdtRcvIQGI1/nkLrdbmhGV2PL532sE0qvRv8Mry4Mq93tEh803+Ecyd491R4P/vEMjNUuY1v
VrAezCy+OCx4ObnoLjLU2fIFnj6R4bSH0BKpnIkGoAvfGs1NSlnKuSDkA9kgX40haXEv0ZdxJpen
zeRLFOiClM1qbtsTnilFARNm3EFUV7PElhtRaoMGVEFhagxm2pByuiIkgGkAkkWdPBu4MRmBZ19U
ND7SvcTvFN5f6yydNiQY2UY/045G03xQf/WVSg8mv0Y4jxRpO6a4KTwPFbNVR41qzx6767dgHNxV
rG33oNKjbezN4Z5mBPZU05qfCFdXIN2TZXjnjpMySaNPK/ql6/nRbJprxIy2MpcfvuADTZFbTJAO
cZbCLz88jV1bYep4XguGBl0eGgccl/DOcUzLDbu04OokGN6Amu7qnCFaHBNyENgB2smydoX3HUa4
m6L5tSTEslFCaxKegp5bXNtaEgOImJ9UnXsm2BBceW7mtY2OlOPjbqPsHFsFA5wnDVmNUWJyK2d3
LyUnh8iz1+zarnW4oKymBUbxSS3mum4Xp3yM9zica6zd9Bhh3aivamBCDYJgIK3I06+oNkEkF9rM
k1PxN8JMKAt23xCX2XIU7gbl+1cS4S/D/LGmyXPblQMbsJEfoqeQl7XcWpWutaZH+NOrSaexJqML
hDFzxDtZeJhuIjhUVgp8j6+1E2GEW4yFvzLp8kNRqEdacFzh/ngQm07wUtIZKghzYaBZ8bKp0gox
NOSLijTd6TrcNxV6TjAAPmnoa1i5I4CIzP/s6V3fj2b4pmdyR0PDRVvX8i03STcGo1jBePkqYxvP
53zKMlAUvewAIuH4S4xJoxYTUjXH4hEL0savu294Y0jvCq7EUgWoswFlmxwmxWu/ylBeGzN7QnPB
3ZR/1IMd42eECEEjEt4BDl9ZJPc94IYV7XEeW5Z1xgwLkF/8y9KI/NKDqUJsuCBQ2Cr9I6nYc8Hb
gr/rE7XzWmaFzn0LYX4VFEgsoUBxjnmKV5KTS8V61LQA4MYZp7rKbxgJMCGdvG+6GR7dcuLwyaF6
aihYHkwDs235OpgscZNMy5swij7ZJHYjf40QfBcahtyKCDvwaLF6kXBa9dOEwSJ7ma2p2Y5NvmOK
mG5dOvhg+y/HUquH9Fdzkmmt/K61iBBIvKEBCg3JPz7kU3Hr+NGZhpHqJuwhJyZ+v83j/qUHfmtW
vPMo7pR7JAefOZenP8JkHncWtAJczdWVpnM+ZYKGTJHGjlwlu9a2pb+v6wQmAmfrcJgJy5aUMEhI
k7Fx3xk/oy45m0BfgRYPVv6Le+ZMOB+gWQHRhf3H5a85nL+Jl2U2hWVx+P6Pv0nHI6bhMI5g3Gw5
JMHgkf8zgpbSWEmxTa12fWCPm4DKSpM1lusl/OIuX00+ygxmJVx7CwBLi/g8tPpa2N4bdIvvxam8
8kYs0EPjHCX7b2zsO6t6sqV1mfOsOhINvuCDiFdz+aOMhncelQ9p2kPHzst70bYbaChsErEy8GTx
K/WjN0+wOfX/A2Ns2v+T4coPqjxLQMW2LFP9CfQ7s2ZSnj2qHTvtjOIgcIdVSA5xohpBYQfAqPfW
N9rbKSsnaNZX9A9pAvRG6cIM6Lm2G/cSdnqPUoTiuYCQfVYwmzkYB7riviyQR+wA5RwmGyNGWpTm
6ge+iqwqAa8wtUoUxS0kbBvm+dTiFixB5ckuvWPWctM09WNGx+RqXGgk2kvvKWh5B6HzZmTD3WAY
y2XE+AQlkCxE8DLzJW8Qak9xTDRkGjDspVG99wNj6cMZmh1+abe+Y7dxdChHEsAVO9t96OeUbx7Z
R8P2MWZTh87qVTzigKXpOSTPaSToHi3/dbL37PbOMHUFppjQ55JFzlfxy+8bp3IBMYItOtqTeiW4
AG9oGzZdeXAg34K0WTeGd8ilN97IBP+CztrHrLUPGD0lg09yK6C0PDt61V57O1NZATjnV1EnX5Ug
QZhw+9q5NsiSTgcRIlTUxg4WGXwKjyvRSrK7zJ+22ks+2mqRYclQ1YvmOfTjHkHTv0FNZ/5hWc/S
BAiQPTn+GnYcWZoeYFdtEFIY+/shFq/w8XBQMgphXRNfI+1PG5V77G4s5xgJvqPNT5yY27++637D
rP901/mO8OH1M2eyURP/9a7LC+1wQTqwd1Vwk8/sKyqGnHBCBFMSXO6E/SivqPLvUjfBjpAqsTAe
6QpfNonIeqna/Z5lbq0byRR5yYAG0vjgCESuOfulzUYTKvNeyV6DQPEIbvjx3mvwbtBaQusHSKCc
4CsqMl+hJCNrLMiDMeOv3PpXIexpQyPUiRDFvBcNCgV57SUkVb54Scg35+FAIcSbHLunYImiVCCE
V0hEPCagbIJq4cdo9FEscLWgwiMuy3x5Yw++C1zbYd5q8ZOqHObQ5JkAU9iY/vU77P4vt7vvmrQh
KD6CGabh4J/XtbjoA1CKjb9r9FvUx69mdcyM9jR5iG1JxOjHNL0ek0t2gG0IWtfp1jSrIPabk2Dz
6LwPmkOw7Avsj7TN9z3ovSj88l2GOp2BwkntL0+x6gVNjzHauJdx/xXG3KHZp6thiJrhxW6cPbS6
Y6Xb1yLnyvVN+aqsYT94vDEEg4mIgQVwRYC7JTv/fnay6ScwIrM1U5QDr/YrqzC71clHXLA7UnFT
8Cz6+ddv1lI68WcsMqgcT7EwggslLv6vb1ZoRYZnevQGjVb5MdnJl4mtEFDty8eoly0FojFs8Oxj
GoJfyhmRsUECA5vd0M+MdOf2r3/9guT/wmn2fccSy2JtCt/80wuqEm4OZj7+TmIEQ7yJP1X2mNEg
j8tuXQ/DsRDG+9wD8JwjdaDZrKuaR+ok2GZZmPjwz3O65/aYbPsLyKmVREwBKvIynbVJR24BFK6P
OK+OzgLldCiHWQXKfaNCayUMqP2g+7/TnwkV9/sx619zVR7LdCBnx/Nu3Wnf5JKHCTXlT1YZgMqp
CfUvAToKp2FgDGsfoOJNb9EOcRnbhyGUzf2sg8uQA/D0DATygaJd47tQhLMgzr7O9Rhe8AkKczF+
h7R+d7m/tu1slxfZeVno7JrrrXfi93Dk7CdNGg6iiYcSvxnocx9D5T5G1fz2178HZ3ko/vM6JQXa
lovvEEwtvEj7T2UL+DJnCPCsUyWvcp1PFd0U4G1HxmOtTM9V+uDU2X0cx18QYA+TKH4kATv6jBIG
Z0jq1bjglRE9ihsywDeWwSkggQAbT1zgLMdxBx4a54I9KGzuyl3r1pmWJoONPXES6afn3mM7TeXF
V56R/jTq8n5kRLCGq7rB/6ZWXhze6eXmhNnEG1GpP9aR//Mv/Qf6H//On7/Kampi5PU//fEfT2XO
//59+Zz/+jf/+hn/uMRfrJPlr/Yv/9X/R9U07JEcbsr/aub4H9U0D58JzYbRZ/G3f0NQidtp2U7+
52f9UUwj1d8t8rm+w1OOdgXJovNHL43n/91RbAA9V5gO15XD2vyfxTS2+LtpMhBQPi4wsVDa/7uY
xv67YHvq+65tC2UK1/3b719C+LO8/nHJ/vF7++8//1vR5dcyLlr9H39zaJP907UNU43zDIsenVq2
VH8unChFBf6FBtNtONZ6A4ZfxfB0a9btkY6FSMX6Ke/gctj1tEkpTke6ceLbZHgEY5URxSRXYVV7
05ksTknNpx1b8zG3AiJ2oVNtuh7laFowBHjPjwGS7w31S/YmLP3H3IrDe6VcQghUn7vfXUh9lefX
3AsVXKmxjghNOP4PV7rBt2iqLebBOzZlyXlw4npvKzboSe8x8A0x9Ps8kpuosTbYHYyjnGF9JJNa
GxR6LFBKF2QmySmqCGMi4q598sLxUCsGbqQVd2x2qnU81/U2SMFu0x5YXMIWfncwWOVd3JEH8zLZ
rOES0ZQs5/JhgIeMjG88ESKeL+1Q/lA69Lco/PG2UJLW2G5u3o1bRkB+77gXBrHmwomdGMIUy5Ao
6e7kDBFOOIX1w/QJ9TR5vIH2N5KyYO6IlztYaysrcHqxURvCpL+jDTRY96pmuN/Lq2vYH0LxIG/L
webZbEVnEUB0LSxrYbHDQ6Tw7Tsx1YOHbr13sKEfy4nXr+r3PtLjh51TQ0E0mYl0d+hGRhYMCsq1
dt1uZVGBeHR6onrp4JzSWPxAVsVBVXnxld7J99BJ6jWmc1TicLQ5vpLpHcLgwHUO9dzGPYKdjCCE
1ERseKjeRD3frMpV8hqEQH3U0R0rxpioXjuvKadjUtY/Kocm25lhs6jRhvJxVaXONrMH/9OIPX7N
yNfgE+BQJQ2EgXkoLpPrq/VkDR+W0Vqn1NJnYFGborA5KvLcWfQwleRPkwFawcGQVhb3brOkW8gw
945xkt2biVF2N2QR28M7Y9n8xbgqx6lJd2lcH6doeItmKfets8kMyDcqy/ZqIJUu6iHaJpX3PhAY
OVZRRv0XUqwvpPucN/ZjTVfsuhvM9jAygLsrfAaK/O4QkdmKb72x7NazVmCnSBjucyXWqf5oPYCb
HM5tCII4amdeI5NhPjSze6iqZMacgBAWeeOVTMmE/NTDieNUnpx4RL0tai9e2SwE+4l0ScN2/JBP
1sqtjFeZx8NLDGUsVG51McIY5F0eXVrx3Ymldli7iJmOER9Lr16Ky9PPtLX8H3ghv2rJhFTmWXJD
mqhYoU97uPSJVZpaOg8aU9xD3gXP0FTFmaEmqXCbY2HUTwWyQ7aJQxk9RP28DOYiIlMfWeljJA67
9wEgwG2cHqppybiW08+k5YmqyS/GtvncAht8lqHCCjeCkLCsYVfBKd8r7V+dwNHnskLeVVTfxkwj
72w2kXcmQGT4eAiGjEyAqWXdfdzipQDqYejQ3PoiJ1QVtycHG8lpyty3NJzLUxbAATc782zByFqG
rhKLoDvcI35ZPJnpMMqML9o8y5XrgYXsulbCdUcDnluqaZKiL86Fro9uV6VXqwuS6+//p3Q7rGL0
je3v/xZZfX9rZVg5gHrj1YsI0C3teCe2QpuBJeBz7Bxz7UhGw1b77OEJWsUqM5FEyYbRjmkc6JYs
FgnhWzY+bMi0Awg+O49pFUyntoncVYCUe5u+4ifnNFw1+r70OX2HSDWmMyecsZpxrSDu2XE+AtUa
7XvmUFihqgd6MwgklB2YsAxLtV8RkovrzDuCFW0KC1Uxohh14Ano5s30xDr/bWvj0LR2tcXdDHGp
tyC8OeUSaaZs3AkCcxtklXn7+8MsZvO2VJG9NvG7EZgd8cERDulTyEmquW08oi7N7PDlRcbxn7aY
jZMOMLw8YVGPwCgEYjhErcRKmiNh0Xyf/kDy2Q1KjXe4vhxwpktoNN2klOWkGtJrlFW7nugVG36m
5EzgbqLIiDAQIW/oMmmPjTmXm2Uh42reNB4VR7PXtrtaOdOph+TAyBVmI62GnL093Dml33H/hJ3a
h3ih8hibzpCM5qORYBmPM3bN2tjWwi/3wUTXoRWeWAjA9LoyATw6AEsLEc3z4scYR6h+y/w9N/Bw
UhrZ3td8C7aMWCbU6N/2dUHE0wIgFc39u2rbF6gT8jBScU/5QhGsbY+NuIVDSXmFSy6j13uf8PO2
cHziZem8EVMo3rx40tuIiSrvVB7hKfQn9BI2tOOu7EeqHutH1XTWkwqaFoezicRiA2HwJiL1pS0v
IhDYmRVAwdynpyGOuO5hq16ziKOuDaixw135ZStiM/riNGG4CwYywwBezpzHXy0sG0dZFvhANWGS
2Anso1lb57rGuUs2Q54YlORHk7UOYQqa+/Khq5z2AjwlO7v+N6aCBMnYXLfaCw5qJt/FAPdXCaYQ
/6oEJIb5Iy5LfaipGsU4x1iFFGJw6APGvY52zlQ/YcfIl+ju2Ge3Rg1Nw8FZwRPY3QWdVTyOQY7p
KmmG75Avn9CJMZkqv8IhcO9zbgOjSeYz10++c/KIexK64y51NdczB0RYk/HaTwzjTJcTh10OKwr1
kcOtXa4ils9N64YZQW872ZbeYk0el2fs6BrHIBZwjKBCsM3R4HZa9Hfq4H94ug5WcRRiA7CC7yTv
xgsWLDjTTbaWvcVWJqlvvXbwNkXOcNKdVcajj2Cs7xDu7hgue5X+xJhMdAXowjnPcIsCIb8RhdOd
bR6QTDJfOsc3riUzikh1+pFY2KmreAE03UrkoaI7u9MSXuqyIzwu/0Gr0TzVpJeM3DoZmNaegziZ
TiHMwZuAePppwupQpq53jFJ9BD7RnCacl4zExqcq7cun7L63ENlcOr8ZQHk84TggNkPzAhju0NIP
4sivNE66XZS4eptWHAFZGz4WBuZqEOKHmqOfZgPTPYYcii0CC6pYd5mGLmrkOzHVIC8s4iwqz8JN
bNGI0HXYxJmY3wS0Vj0mbh4/Ng0j8WxcGCjQwPrp3SVEclLOgG039kvWKv3kF7HBeMkdXq0Ix35E
N1SRQlZuXO8QOaH7A/UFPdw16oOCY7MOGkwqYxC0G9OvXZo/H2U1gAKa6ruwtEDil5vCcl5h6KCr
d+Odh230EBmvUyHTrTKiQ8DBkIgMVhQbQhSqIj4qKOmRMSOi9wXjGQ50QFsq+kbBeTPUhdSkgDiD
FPtJbBTYT1++ppW3T3pDc+zHSjOpdJ+1A5G6OT16sf5pj96DiubhTcsvIsiLxl8tk+xR7NNAtxdD
L0a9tv+APvTJA0WvSK7WN7oZgaeELffHwHgRnmTT+g1Ls/6ofGL7sz++4sagKyIY2bdNAOVnB5MK
JLXIiw++BOlulzi6w2Y08GFOe2f6KRcKze+vmvsQVEIz/GYPW61LMgeytZ8wPq9ykzy6XVKaU/R8
cFU4bVt7eB5H17kS6/62oAbsMlkYZ78UwZmG9LJsZpqdOTfTHoDJ1EbFpFeg3QQeYY28wUI9QKEr
J+DKsHSbLSMUHiua8jSu0u6OZ/tz38f5Lp7FFUCkexxQXfXo2AfJPHc9zQ8CyNkt2xY4uIkfr5lw
EelDVGMA7FFULWIcI5i9KGb61NZ7ZEK5N/ty7YYGbMe5aDatdKkzJkF1EGl2X0X8pGPLHrnJfIss
Qwz1g0Gkuez58NZhoCC7tOOhYLlpfxQZ1StsPjJO/YzYGhX5l7z5mbv1eCR3Qs4jMo6j2TxloJlv
ajUU66bx6ksTxy9lKLjqaiTEpvSaUyKjM9xV/2ZM+37LCDS4ZH7ypLooYIX2BVy4Te/TIDVG7Tln
3gdfF2WEOgz3SKZmbWm/2BK4lIiRDZHJWGBS51ACUu1M0OWpmhv24lUGux9hkaOIfBYpmClmy6vB
7rYt/rQywKCq5so4Zooxd4c7mdhbeFeM8bg1xoK7VBnk3jpgFsRdxCaUs17BBBGyax4nRpD9HFan
vAgiKqZBjTMOn+8WrIgVD+PBmexLSpvUxTRmTH8cdHa51vOtkwnjIIOfcsrwGtjjU9jsoJbM+7wy
gXkAHyKuRGeFHzsPyXI4CK0+ewR6W60iG7OK7RglRrBo3uWlMa+b2KIHyKeugFEekp4/6ce3HFwh
HpAeasks7Iuc0n0w6zdSHs1lbvIPLBp0XjhmvnUDfZuWFu0MILlwQqsVDSniuSFJXycQ/QOzewQm
A66lGDM2VHSU1ehGSRIpFg0JDwMN8b4yWdPkMOlzp9gksSFGb+KySjhPH9rZYi1NsK94AoHdkqWx
RebiBUhA11Oc+bds09CTv4hdTA9d2KR4KcDRA5rmPbYMkx1g4l7qkA7Dbkw2qemJB4IGhyRPH4Oy
d17Qpo1NUE7pKSAF61ROTIwoZJnyXH1isNAAYvfjrWUY05FO54mbkNNkE0DZtM2kP3SdOz3VvXyO
sibf/G7DIpRs4K6n2YMbLD0V7vDZO5i3segb2O8G52LQtoNQ24TrcEmW2R4MGNAP0ynHXUuso013
zA7CTdIO1i6SrBFGZx5JULW7LO2QT41q62VQgv+4SqjzCWYDI61Hz8wMhXgu0q/KffCz4mrSb/oA
gIdTbjPBM+ic5gAMQ+w6TArrmZbVHUk2hqrBJ3givca0hEsx9lC3KBffsCbdppClCKbiAK2CHLiZ
QJI3MfRCFvzpNtYbAAjIWZNXvCZ0fiTs8/yp6o9+XUM6q/RaZRrjRzdcpp5CqVbH912RjRvCaE/a
MtOjkeeXyet+1V3ScrPim4YPtKD14rM2ku1cYJtoBQtPLDkFpqUGrlQkYNSQxVIYnwFQzCzWbEG4
avuheynrvj72PjYLPKZpg8tI6UepKy5+8VW1Rr4ReX+EsDXimbQPQ2I667rkihklefeu9J47Vbag
LsFlDRVtAm3ufXlQYLeeWoo+OObuetw5RZQAxvA71DgyGnO76s0eYXovgASEw3eZ4DHAYo9xBlpk
57+a2nzGJNXvslBdDWdEkrGifWOb7imeHmqMZsc2sRnsONUzZejFNmvN91a5M8VKs4nPtePLWWRm
ak2+0rMpbaJRNMHwOxX+PVDXDlRhtA5nm/hQV6zEoNtVWgpFTklCflJx/+g5AU5r7JOxWcdvCWiq
YQzjQ2jBQM6LaTy7nhzPBdjQTZY8wxNgT251OScdpGFQk/tkBJzm+/AA697fJ+ywj/roZkxDOFNX
GwIBBd0QYGH9SSFnSW9fWMOL32PdLMhsNixB9ex+YQIFc5CVj7n2FCw6Urz4dWmlw6oWh19ymj6B
2IuNcNi0eZIElUddR1BcMecyr8C3c3Vw/XtWY6x9UCs3pkemyyzwlqrJ6s+VoaGF2w+jlciLrUIa
F0yFzA+P9wCCA5JZ7a6hoLQsZjxfcfJYGDY4iwSMGukXbBiBmF60gY9nI33i1nUa39p1fbVwa8Se
86j9hRu4QlMAwZgacCSBChgr8v7G2SoX5yxbYxdteoO8Np6srmVHNc2aT+3OsTeJ7aizBYAa2lsQ
MfWqlwbpa5xdRe2n8AFZbAwEzy3E6YPTCaaYFqldO2rSG7cLl0M72RoPVkFPHLEnxjubglFlOH1r
2dX7wZ37jcXMfwP6lHLViUxaEEfRNVE8lhlL3oBNkXeB7zASKlhyVVs0p7imXyaQzA0Dy2VQSBNl
/omy3HHQT/V2nlwAhSgmIPQSo7MeSgvnuUuRPY5JDmFthKxtEyjcZi4CTJF2R4u36yGiWIChXXUX
MdJ5MjHELvGlDmFmG7RQa5yBOqyUAdcagzWMiw7T9KBoZ2aUctOW8ROFSfh2o5+9bGARWYXzCEpg
3pKLXU9ummy4OcZr8Tpm3vxoeaCgqEpoS/VYdfLXyCTjoCJytzkgKSqpwezlmJNaxMLtVPTWoSYF
IgoohuxT6LztbO9gLDg83yBRk2mQ1Zn5WFmQWXkggmmHBQGoYBrhu5LH9AGurvo0eTM0PVY6yYMd
C40u0/s5iHZsVkosypAQhBcBAnEhGkb93biIpkIudL9FR218coF9WKhVPzMhMcdvzo47kRZfJTaj
W5utXiiJVQUh3Dg5WfMqi+sts7T5EC8YiDzjt9thfmILd62ikYwBWQinpJJOGs/OZN7POdzbtB1p
/riJKmvfWKUHzj5oD4lrfUTgNubOTvYceu9biYvWHhwW18mD2Ra1TzUXeYf9GzUIfVvZ+aPbAemR
LAbtCBnSMEPcc65wNuRPTphDWFdsEtdNsuO5DgDP6x9FTruMNxUdewuvuqSzu2osdjhZlzP/AMdc
R3V47pVkp/Xi+HSAiCBmFoMJl0BUsDbm4TC31meTpPU2I3kwpeyK7VE3u3mueWlS7euB+iQVB59c
IvuQbQkLb7KDtmGuYukAOAfAdOMWtCMgbVwdwvOwllR7iGfU02G09iGtVKLRS8jG24whs99ELwkI
IXPcYOa1GxgroY8h/RE4iOTbUPFcZaC8qcqcwi1ZP2NpDNfgNDhfDjYPLAsQupz2AjrmyhfNSzXc
9r7Ot4Enf3XUo5ZzsrjiXYbEB2J9xN4gFW0oIPDQHGgc6ew22Y7mL4eMfeD0cu2VFgvETL1kl9LA
zDSDWgKiqcL5skGQ76OQc2CMPk6GbDupxtsYrglsPHebjV3wL8HQYz4EUtB5obgfqHiejKtju+Ne
5dFNVybvmhZksmjeB0H7Zheg4IAoQupzJIaivM6QOWFErZAT35ox/BGooN3WBj1dRk9Wo6+C91BV
FLe2Av+RpnY19eOTnRv1Dl/8U9pjoGZL8J1lKIGD7aLKxuo2nuPvmto/jmvBlubj7/SH57T3Kc9T
YS+Uccv/2YbmQyCYqzipeodkhJWPXNPIWjj1pbwrC0JNHS1JiEbrUMOgNzUdtUbOUUcPpJZMyqPi
NpMcvpi3Fc2FKu21dHp1U4fAMiuCsLQ/UWwdh0hF8HO2M/MxTVS4porRgcRiZNYWc3e2G4RbsjEC
SiRstU+H9sFxTkElof9PPcddxqmtDUppdJm+ZcX8JugGJROX76O630quMp47n4Nta+hqHgAZUgMz
+QG6g/37rlK/sLwQ7k7KI1tQoAuZ6W38p0WOhfNAkyA9dcL3L0NIhNVxt5PjDSSzsksZS5u+n/En
o7tDqpOGK8P9abkI2oXbDesWXHA8OJhpOz4kiE5h/FIDK2I2kJf70GDqVWZAkuJP0sLPk+lmJ1km
V6Ov8xUEAKydPWDgRF/0fIknrNwh5jiHWSquQQh95AHfOfW+4DC4ao8rrRzbCjwlbE/Rs+HQ3BBw
11uuil6mHTQNH7wv8Cpq7ICIQEfki4HQTBrm9bPZXTDH0miheP3hyP1g2e/E5PK19395O4/l2LE0
Sb9Lrwdl0GIxmxAIHSQjqDcwXgUNHADnQD39fLhTVZ1Z1pU9M4vZ0PJmZd0gg4gjfnf/HLhwvNip
LaIp+QAsiIPxni4BBQmWgSWt5PXOtXEMWvm415YcEgUz/Gwu+SHLZEWrrOAFJvavAMoXKPA9ahqH
i0awxdiwV5Wxqy3SOnO35MSs8lLhCt73xa3PcEgO5JkA79LQ0BdgvGKtrDAsZMe0C550j8yFLgBs
0qPAvZHYGv3LG74FnAp2BfC7B0rTlkwyAfbvKVPDs2dl07qMmJEkZb+PbI9vonM2FlTX2WkodC6r
VaA7FF8BlfNJNg6Wvxscg4O15EefeRIkGqSovadZ40IXKR7PAQBE1WYUUWHjzLIfJuPOZgAfo2hZ
te3l2yH/u6oeKHO40XoHOjL7EZRTwg0oC9OB2prUkd+cgOxTT7q/cuj7BWf9yVE5PvkdIDNzrtdw
Zol1+gslXzZhPmkvoP10Ff1QU/Xxm0we6D/0dKLmaSbPXi8BeRshds0Dxm68dGlFqJBWwN3ZIWRE
6cKjPwN4bPPmPkfAU2cvPRqpDSaPX9GYjA8UUNvsuvTl2Kb2CgnnORibiy14C2IRHEjtpJspc2Ma
pONP5JMb9sF9T1XNk6fn86buiMwURnYR9dhv5445YFE3Id0DGZCB4M7VmTvuNH232/alHYK3ZFi+
S5E+uxOdRTQkrEl3nsYYOLFpEhoc7cdaN3361rINtOZjETuMt3iDySazlHbRC2JOt+1lOXCwUBtO
dMOlHney4IjTCxK1XRuEnn81teAZ2RvnChV65Dim7kA/sACRGQ9QbMeO8vnphdjpUyusa6NhkDIM
GjmJUscdt2k7p6Kutq2b1hti39ZMgxSO9WQZvLhxSxajyi6JTkIAWh2s3AbnPlHHTrvUWlddnYWp
IU7ZxGfa8ac3ECfVJqO/h3LgmCSqDIyLCw1INk36RMaW6QiOz3g+pcSrd1S1/oSkM9AiLeh80hlw
uPaPyjUeoiqw9+WEiVn3zOKopMPdxqfCs21Ao41KbLTScz4S8aMycIfjzZq5KFtb5STtwfOK/tjq
zg+EnbfO7KwQjVi8gQHAP4OzJC05LIrMdjYpJwVasSPtpFTwLATnOahzPWtqpm+m2OEIZnTxcaYA
0pwBAHg293cLISBX9Oklfe7vtaecekBu9RikWs7dLW6qsBeOeQmYYWtu6q2lH12sNPG3iGnpJnIA
OtaM3RKcm5dW+QflMx8vfvQG6SNULPdyoY6x3DbEPi+gRsCmOOon74N4wICAhbjEEc6UjaifdJyt
X+POZDLCKKWzwHwn0YDDAe7cwVtoPd3yuJGU6siiEcMmy2+WAdjOCBBUwVu2UCsOMu5+ukZEY6z5
NRjMk+W8wewEZjO66L862iSMSnsgLYfVrZXv1BpAQH+lTypExN8axoobz1B9BgUQ8KaeVr5ZklmR
6gRNAft+ZxzhUHwDawF8k+V+1AyID/j5U29TD1QOzIxerUH/5sJaIFwNyMYaE4SYS6q5L1qLIt5C
sifYjJYEwftcaPEvt2kveoCKJgtOPQqJG58Vba+qWaE/sz11R7ppklNsuK8sDhY6M7JVUF3S2Xd3
E2fzTcVaDegsPhIG/xVYL5QY/bLHnOKOqFy+y4vBxyd3LoyR3gjmhTYMansWQMBktc2MDMAR6dE6
akP4A8v8Pd/qnc8eRRxQkrJJtGnr93f1FQQIZTM+5pC+KX72YOj3uGoveF/SUyMI/iV+56/oactx
vGnPgESafS+GW6v78VGZDYQBL7lQBl8fUkOckwGD6MDJHgtuaWKtbvbZTAlUMUCatH5NHgOwIrGN
u6+0bp9SaEWlaA12my1nRULLPXcB8U4YvlR38g+tEP1NRqi0WQfojeHgedbsD0NnJckQlTaKuweB
6TYjNVlOK4eLf2g5uVxjezU2Q2Si2TXNFQAcjIGamimC7N12QNoDDS3mZzOyP22MBScsAKDdl/NW
3RXddmIithF1fiztVCONe9QghvQ8X9SZzuZJWrF5wv+286ra21MdnTxpTE3yOIG/0ers84GBB1XP
ohs0riBApZROVaydzn41rGo4ZY2sKV2jHVnqGlxYPMrKmqClpfDOzaJ1wjzrpm0CGRz93E2ONfMQ
gWuztBP1WQDBX/kuGFGTeCEthaW99v1p3AA2YjUvA7VrnAq/TUR9zUIHTTWLpJy30ZfPLxMVVA1u
fghqDE8hjBlhIqnuakHaHIKGOJIwBrimDJDI38z9QcDaJgcO+LdehtpF4ez0Or9I0FvmNKhrFtTy
cSC5gDEB5bg2onvVw4/3PJhtQcAJpDDfnajmLpKPa8/M5NlBh5LC186MPT7hEOLyJywZdGd8LM1L
2b3PfFJ9JtQCHfpa6fm3KGfI6zh8RMuAyt+i/RQenNY6sDpuZ8nwDOFlL5W1bVr9BcD89znyJ25P
2as5kSL1F8YqM3lKLfRO7tiO+TyOdf5QxdP8JJlgr+zYFSd7nvALzxTJ1HPghf5MTp8we3zN7AD+
ppD7GVPhjsw4XB/DnDDgx8Mz7spz4g4/NIh9e12hehmjHRwzBwc/6iJ0esnxbUUZF16LiM1VcL6n
RI1ZsvTYTbQJYrnEFrEFIiPKalxDG4if2bDEE4Vim7kf4+dxDgcZ/NAWwlE8x+4udsmiz62JKDL5
Pfw0W3vDPfXQkTja20Cla6s2Q4tu+F3RtIT/kTsZ+Xs713OJWi9I8joCZxZjL8Nzyqk6C5p7RTMS
V0ku2rMsP3MQhKu+o8qparZNkUWHXGHfJ+5Fp6OhP5Z2EF+aaEEiiyCgGV6DL5nHLxrgR87m2ClV
bT2ZenOdeBxDF0FvbeqMuaakVmGqmPYI2zl1KVDzjFUSgMToHuhbVwnntyZotZPvRTR8Ke1GIMc4
j6o/2HpbHtLe7dB27DysDICBiGKvlI8RqhsKkrbkK3TDq1/b6okB8VV3RYFMBAs+mL/SDF0cQMRB
SJKZld0zw+64AUR2qXFiSd8yl2g6ieECDRlxh89xOJTjdDPcjDNwjBmOzphd78TGOkOQWw7vLeEp
e18zhgxUXhwIQNYrUDY2sZ1lr3FF7Z5zFx5FwGXj5ub6cwxufDfUn75yLiAtkJLti3LkIdDxmKFv
lntLEOEyA+RRovEk21ysRUny3tPH8wAYiotXTaWK02VhM9ZcFxuqNB1aRNcyntS2qFzeV6JmTget
TtO4yea8P3taS4iVGFlxSDyDa1/FuBdj9nkowODC7iQ5zRwFpEoGNIALr6u/jYRhz4WweF5sypQN
UZwgvBRXfyRlrJopf5A0tZD+zw58uqx1W2KBcBR2BWlOB9kWlDlQyQnGy35JlXXPKQOYq7n9lS+L
v99QVW8ND6qcynOS5D+KUS83gIRBBmn6to7BgGWZUKffX+jtudc2O0uHTYHdHEfjOym2+IiEAzp4
iA4czsGtlPNPy/H2elolH+Ay3whM+ee5Js7M0PhMwvXTg6f8LhfqhB2DzJ6RLmOIsWHiYS1hE3PX
noS2If3gmSG0AEE0i52aOURC+aDAXYn26nP5eyAdczKWXg3wwA9pRaWXcsVT4QIwkMBGkpGLZaLX
R5UwzhGmj2uhjh773j+75qAd4Oo9iJmhb0TC/dR3Ga1gpARNj49H2Ya5jxwMiSWCxyDpJhj1LNQk
T5KH0YZZHAHyGU3uWs3wm1zrBQIlwI2GpavRH5qieNEsSqdns3tu3BGkvuw7fHJvPnrVuqA9j3FI
XdG6xbkYh6X/VrJTbSxBDiegP8CEdrL2vrUN+c5oAutbzArKNYsICh51hQyETn7mXp22jvcqcDYx
WdwHQlD5w+9/qipTv5ogKTInvyJjD0hpvbe1JHDJXpDyA9hxnOKBMG5GU3NTqGFHjl2eEcPmTULZ
92oegESbAw2JSUY9Bpe8+ck64dfeZlB2Xn5/qVwsBMkYRuNgXdT8rolk/sAS2eyLMUpCZfgLm6MO
tirIvSezN41tYyCZ/P6jVWbq7EbJD+SarYGr47MfQQ03Gax2tjagDfSHrk23vRt4IciWsGL7JsoL
zUVHppbVnXqc56L167tXcHOLnPEZh2u1c42y32G4LB+ErH8Z0a5kgz7Xg5rDQsfMRwgkrK3SOiaR
V+5/zujNd3Cv+YV6g88+q4cdBh30BmcvWUrPHijuSxqx0Y90/eK4GlYWxVmFTgFkTAICJkL7QLFN
sUlU1d/Aej22bePujdUmsPQk5MVxJlWgqFzh5ccqweXh+dS44Seazgo9eVXYxOfSvmpCm4/jOiqM
/oiDNHrQcPwTS9lE/d32YEAnfsYTWEfy3GfUXjWi/UZPRAdnwdV2hZJjaHlHy2M7C7Qs2lruDAFx
Gg5Cb79Fsf5pl2TvIZsRaU/aGgWeGUgxiDBzPQ+TXOXtEplG+Izj9cjMhI1XvsVm2Z5rvyWvwIWV
+VscNoW5sE2YlTT6qwUEj4mG7h80ySDIaHFO5rFt4FwcN4lmoOUzBug7IDuWZHqVlN3nNMWou1hv
13kDiMZ2e+9UYo46uIV1oDE23WhgFDYjfNw56cxLp6lp9QZzVHfBpAshT2roaZ3Ayplw1WYib3ld
dm4GOMrsZ+TyGqa69ZRm4J7tU8fyeO6k3pB7Y7XuDSIYMngjRlScYwvqLsy10/zkWXAB2rG+ur6q
w3lQWUiIFR8iIK7HyTS+W5U/HiCkrR18JmfNlY/phGqe+0j/uDJRrRDDtoFNaw+Q3qMu3XsdeXVY
DWraCqW/xZE7HTwXH+FyUJn0ni82dqNu7Fdk5iSjJnjX9ZRlx94Pqk0s64OFqBMaFk1uiBdq6UMD
DiDgw3Uu+CEgjskGPiXEY4e5D3hhVhVVHiSzWuF79Z1GMHyM9bBPRy5D5uDAufmgT6DdVQ0dfD1X
87P855cY/s+WOQT9cPYHyV/zxiSgOrKkVqtS9hLE7slAXzimpvlGDarlcAiIW3rIB/4vnV1t8ynK
t33nhhjEvLBugmnLoGvn9hMJvQLeH+ws59AuD40eRdlrG4/vWA4PlUol5xevRF9OmeLB/W8ipwhb
GOhtY/hnYeWHnuztiv4lCqcQmk5JQx+8Xkz4M0gqhU3NiRbwhX9tFYG4vqDohnO8vUNPtKg/AQHN
nXIjY63maQOcjD7j3YZ64Pg11+yWVfoTbC3zjqk/1YsFo1facumhIwHjAShinaD+sUNIObZajxyQ
YtAmgjn7a295lryFWjHVBh0CyRwkYcA9myMV+dasn77HyTAeCT6Mx5aPxvH3H3//k2OOH4qkOGlz
/ovf/6ru45/V1GGLKt3hmFrto9t/xBifDjPoHcoJ2n2n9Ywb5iG05hrxNerSrUsMDSNVT7Wf4T05
tRdGXVY9FAtqyx3s8q5yqu5LOFOE4XYMjWfOjwYIYSYVhX6uq44AatO+iCCL9sQIljIpsgSt9+5F
6AEIl2DW++zopMO1xCu3ArpIADGiz51BJqtaxiA3IfXftNVzUfk+a3FbHDJVf8Ma0WBVNsQDFKUV
RVEkugbMHm2U8iRHBfYknYYwb/LNHRgXXFgBlYmjaUTbqoutjV/b9S1LcnHr2+aXF8dvGajV0HXG
kgNi6j1a4vtgLZGCjuMHawaHf/KJMzk9y1gOdA682KAT40pyimnxlmruBVJTcaIeipKM3gkAlasH
vxv0R9j5+mOKoHGeOmbIoFHqgGQGYTwwU6O5sDPS7+YCSm1m6912AKWoeL4w6w1L6Ia4yGK8Cfwd
jdcc6BwuucxCBGm72qFtGcSwnw4xZJ1CbeRycsvKJtrorXHx5Vi8gf7FglJKrGlWiLJrrc2qZL2N
XOfaOyyxUsxrhLrtgKcYt9rcHptJEzDm/EMcWfB9MQzf8qZ75u0DT9hY9glwvs8KhNM3nt90pyw/
Cl/PDmUEQyHQBEuAXkGvIuDHvXrdCV2eZ9lXrwLJrq8o07NN5J2ZkhumjibZUT+JH3vUelaRMTqh
8f9gzOJsZYAPPTZYYFVslFeqGufQLBm7NgTtaqBRvieoR/CDw+gnxVORmMYLhryjmaK1BUNB2RZJ
jWaan+u4/J6Vtk1/CJJV0MnXNCq/5iaC4yxT4pzAG9vcmm7MM+Q2qX7qvaJu0M9jOAogk9KJzmOD
cXLKgPLM7FktfBgW+NFlU4ge5Rh8a0j2PQXN97THv6LYpsKm0Z7a6TPpdBqHY7fZewFEGZzVXosA
HA0+DUdm0L8xOnM2SJgNlabqa3rUGmyMA3brAaX4wG+xWNWO/zm6SLEMX9ceJLCrG5jveGnWWXRv
0qHedpZy10WHmZ145Vn0BkYCXt/WwWK3NNodNDD5VGfrq7FsapLybofraano0ubr0IkZ7Vr7FBbR
fMcVzHubWHt0fFWEhiG0S2MUOXtTKilQycuN45bRU8YFYmXPBoezKu1DrUzEo40HojQoGsbMZW4a
xbNWcfrYw5ajVkF1z9SauE8OM+4DE2goXmnrrqlJ/OI2s2cES18injDdbaZrjG4w6ko94FotwzL3
u42l5cmNPtR4S+gq26EflMqe3xhbo7/bjOYAXFJPLqnapGnKWCdGcYm1sWW2hvrmT/gJMqEFOHIp
vAuIkHOL8txvuML2uoNLBsQOncsBGAPzw84NYBCz77xOln2RAaViGcrEw8AGFE9sQFDC5GHwOfbW
OF9BockNp/hfhevN9yQl82zazbDrqz7bZ6yvbIL8DWanmPBrFINOXLCmeJYHx/Gu6W8eKyrdJfGd
7GLXv4sjWUGVFv9MaDY5mlZ0j7l9rlk86rVPbSeBnumjmcz4Nlt2umvpYiBvzx/9abJ2Mecx6rAj
1Afe7RXWT/gapDNvyt/lbWE/0PEhRErW5NZ6fknJBX/wmEadvR52V60zl6BLkPJn2whW2TSTJR6R
qXFm4KxnwGxvjIjTNXsF89PS4LpN/rdm2IqP0Jy6E2NpErPKP41CGy/98iVxKGeMy/GZSwGjKNyp
O1OZyDbzgbiJcescT4EveGWHpvkjG7wdm1T+DMuyO1C0Ua65s4szSJBfAq3mXqLwRlV/H7TYv+FQ
7TR8CxaM251bNs09yfTp4g7VLXOC6mz14qsucaExvpIJ5gczRuAdAZsM1O66rnNOnCwC+omhNijF
9yxTzSnNttFozVsL0ALkAkxR9RD89GTG1CBugw0+Fkww1m0yDONEYdK8NcB86gPijRizYmOUzL/M
sblrWs+ltk3DTri/DL9lDld+JUT6111bjaHtib0krcjpoDIp5VjXBbXq3CrpSnA7xtllNm9swxiO
rAEz16Cg3GsJEb3Rui9L2iez33UzSPccRLiViPyTtZinD7v+ilP+D52WymcRJf029etghSuYbVVT
3q2nx5JZZX7y1TabWyqnGsZ6ZhDrW9EIhD6n4bBHdILCvaUWbtDjcAKWjN0NYkIlmnOdYKOhSyHf
zYFRYzLqiiOh+Ztm+ad+UqQiCjYlMJ4z1ygHIGWmvUWWv1iCO3RkJtD0FKCmGlQFvGdc+taTzgLG
m8WVmrI1Ez8CF4ovC2vRm7ZwZIr5Ey99/arrKJG+Gnd+W/qPrc7HVrN5umnys1+CYqRKzVUQXyAg
CSdxHh0bMIFel7fc/65VXnD3rZgYvDuMp99/LOeCyANFjSs3FUSBl8sgpw1xb90QQh/KqB1D/c2t
57bnAtbGyI+Jm1yatA2e88FVRwMxkj0ZbO2M8z0RpHWKEqpE1S+t4OhdOMa06nGkPaONfpBHtunx
SJ1zPA/fptHz12RJjnBajdvAlEoU8rHtgvgFmMzCxlnjUrCOfd7LrWo9wudz1p2bXnlXrNz9GueC
/ygZM66sRoSerLq7TzdGVMQaaQsO1TEaXRiTrEGubIEVF0hOMqfUxC9s8Z6bBByaoGvZROZvjPxj
xljTXoEw9btUHQqbCw3t5/JRTSdk312Teu01ZVX37HS4C4wyK9HjH8sNQi6LRZJZkoPnc2725oiv
y7QK8u7LPFGJwSaT4tjnTumwb5X3CL6sYwDjz6E9ewA0yGGAqDoZW0eM7bUblLriVXsvPTLtQ8qV
gImZk3kwE/C+XArHeKljJz3UMbbrjJlS26BAWky71KwbT6kfLc3ZVnbArTgjquEll/iEAJatqmH6
6hLPXJslTN4KBFOj090C29bal8Vc3OeeW07qNc8SpR7eRrxLoCmtOvgTjOG6m6O1R3ZsnDZWdpem
zkUff2kt6/wABjMNo4wybK+vMBjFqHg1VaZhrnwioo3rQESPIOqqh6Ku5a5LrRstITbDdvOb00jE
jiCuQqsr6HorOcV6TPWCXiMDlu3NKf8FF7i9eH09b6UoiQZHuTw1Md05MNI3yUyBqhW/QB/0wirS
b7pjphiQixc8WHgIceNiS61pWmmiZ79Qu27S7DAqi59QvEAQ+nKflw0yDgeVVTYuMkWepliC+56u
Q0KeNp4mJNN9pHqQumRq10SaId/O5jaaCjhwuWmex0/f0EaWAoqcO9X3W6mJh8oWAdBCW1+59GEE
sUu7YjW8WLyxD8VkZIfENz5FFMxr3ZVocGm2UXH2HkEvCgN+TTSDmYSGIgQSjMUPuDq1jco1fuUz
8SWHeokksF86zSLvTPcZ+p1c4yGmhdQa1Jlj/cbs+/ozGviVllyz5qaM99wpUlfV68o1Y8Jw3UqR
+LoMgaSPkbRCSAKAdJ2od4HvdUfsHV8YoqDcOtCYuYt/paVeXSS1wrxN+Z7Dpb+OqUz65rNQZ+UE
xq61oTxjMoV2ZQbriaTNa5GAciPOoX+OxvicGYsO2nFSy6pW7om80Vv9WJtqflFT+asuUh5Bhrs7
zLBY6J3gMYPAxu0Y652vqk3uOf6WzGyodzo5hBySXq67B5kujbsIL48+I76Mmuq9ypmy9nlJR8V4
cxGEVkZvvLAZI1XaJM16pfPblNq6GJmh96PSN9z7p71ZjmeS4FgL3HkfDwNJ3AIAMzdUsYkIEVMQ
NEE0Sca9NO18LWLn1VHtWTfYgnXAvJIZ1dJASF97z+dU1+JHt3Wa0CKeUk6YTHCLf4zSaDZ9VrBo
VFmwHl9su6x3VFmihyxTXBJGR67nJoXm/ky+gc95DL+I5sdoDTWZS1PZHE1N+PtKuvOZVC8dLxGf
0cCj121IBcVvXRVjUKvOs0uJJxPk18KLb0Xc519u/0vJxHyj6gq/VG6tXGNcpgg03nRWTu9zMC19
rWz2BJCubor5y9Ot8ejibicM/WkWZQugysYlobvxxcT8utIq1MQqywhtVDbDOy5pTxZSELfsMVsV
FIzsY4LgYVWqFD+wEuvUkvOaG7CMvPwSiXJJSj4HuET2tcWhotIZTlYS35WTIin63KdwPO5MeW+B
gT7SswtuvBkeTUsa12LKoeKaFYfvoISMSicWFV17R2XeyrETbLhl1x5sUV4yMLM/GEN9USv0MjQZ
k66qH+DCYocvXYjbmUcSTRK5dCkxYu+hj52LHE8fg0XH1XTKmuNoO1ndfRI0myQT81pkgnWe2dHG
RkQ0pX6Bf/ole+sVHG25AYMDUJMu5AfbEN+y1AyQulCPdK9lOEAm4zlPPeaReMThWdZhkBT91TZc
dXV7I+zLMrhgly6YKBt6z1THwFdL4Gp4jJbOur4yiLQ/tQOAfQ4W0ATZK/FE40oz/fk5Sxz/1mBo
tGC8m3osHprlGkiq9AP7lcfSzDmsnPBip0MVn21rQT7HgOTLhgqJ3uugjcHgtNPk7ff35Sb0JlaJ
jtE57ro9oTEqB2dzjx3a3UUp177Kr/DRaoTUV8HgUFaoWek6iGV8HAD5uJ4zvowyOLe6uTQafWm5
IC9Sd+/uElcXhPnx9es/miVOK2cXNv0I9jyy1akShrELzNbYDzq7WR+AA7bVYzym2eX3FyLq0WZU
Xnc3T3VjtOwUUbFTrcZnv4rkUz2Z2oa8TvnQpmRpBmNKDkELtWHu7ctEyQuZMku75n71Xe/FdNI9
ujyCnqanrDx6Ns/DyFxz2+e8Sp7WeGBBmfXSNy9lANyzb9MzeRXjweVBukxWcNejkyJJcCz54b2l
nTCq/aPWjuZTzynPLAK+b8/HS4U93iO9uRkLgwoNqZlrBD2iKwPQaw0bId1sMyqN7XSbfKjcjTM1
TPb9EoRZOYeG61Isl4udcAeqKmwNlRJRyEE1vhB6D7uYk34j7tqYlrcaizjk+zOSXr2tg5KSDo/q
D8brWw/6+BpMAQ0rGR9XEo6L3l5wibNp/QBcazoGNTX0SflOg4tpli8QOhTTDq7TuQzG/Wj2rAf4
JiN5HatKfdR5zZpR5Y/JONWhoQXdK//CsSvYGkX13nK62Y5M8ZlDq2SvtTYK1SKB9DnhT6Oo7aeO
qgvGbJTc1OmUhFoCH6puIzjEi+2hybXQxLm1N2XDwaShl8NIpjMEZjpMJv+xzJY2So+g0Zgtlwdw
EiELIs2tjcEpOFF7y25/iqZjeLfY4BKIjjS+p9O+l3uOMyRG6mnvw8s7x81j5Ap7Z3HC3STgEcyo
ik9LwM3V0/zU92/2WGRnXwTf6JGPL4TjSKm6GieHabE16lREMoNPGHpNeLxLsZt5hJ8abH34XxJj
D8wUAj/B/99fpokZW4Uafqhlq4cMNjmPZH5zxFMLV5m6912Zy03iV8z0Ef7XdvU415h7RU46yK/h
bURlXJ6yYn7W9AZxIarnjTBNckll8BRMhoWOhDNtajzvTtru+8D4czVoY/eUjSVfIE6QhByede/7
bJXU5NQ2hZmFfRSCw43nFoQVRWeHgWz9nSGjeEdQh/LKMnutLaBNMYqanjs0dxBfzSOVb/J6Ts6N
WwEULeTzVGswDAWu3By+/YfVwypw6GXEsDvcbJNPMe5X/H9b6NnxD9PtuGnqmcFCmvH3jZi8Mbu7
15oddAXC5ivK5ugOjjrYZXKHKmofUM4+VMsjXqeB/RrlrbPtOVeMbFNERRNxT1k8y8q4zhTrQu7F
KTGCgiNPaF11+2dgO+KeBNmbYzHIS3qsPwAWrOJqJOJbCbUji99a+AkLNIZaoBTuFrSC6pmEm8uz
SOdA6YsnrRHnyY4krWG0H3sAqfSg7NdTJnOEikynYZ1pFQtvv9FLAO1zXp3Ir9hbZ9b6sJsNSsKy
0tvJallqcQmRJuOoGUkl7rG5prXlW2BJh1XEIPBnZWDbfPHDVNW7777SJFeGWi2+NbD+Kfpz2VLZ
x4aW3lJDdEAW9XZfRidHJcHPrvJeUBrqHRYQYHVtoJ/S2X6MGwWCogge4FaT6NPdDxCDFQB4LyF/
ofUrrR/ck3IxcGXNg2tuyjiwmFrSx+aQrQ/T1krWuoN7HDUsO3jzRErQN5BrSgXsJsap0Q5fjatI
FhQaWafyK5tNeWYueXX8qD5XhOA6csYbanrvGchnUknMYfv0yYpoHiymaB+bvOOo43weoZtmE91/
WeJycBcCNCPYTk7geP+jCe+NjdDRSTgrVW0RdOgTanm52eQ2LAtSEiWM6lmU8UM+NsSv21SBtLX7
UI+bJ1vo5jbjfMWPm3/ohYZCHNXPCbPgw9j1XGnjZos9cLrAfVlSK7j27LT29ybGxsmd12nZdFff
wwbN2VXuSeBSYfQqjL1YTvjSTx6gP9dYluxsZzU+NVq9c0qyaOaYEpPx1kgLoFPKVZM4b12qfY+4
fp+kt/Ut89hLnTGDoDI5UArEBepNEUfJMe4WOFiFoTXOzPowwbSAnMdks+Mz5OvUUAbOVLDvFBbL
uAKA0Y63OnOZotvtlUBvdeYbOkSYbAaq7MYRWbRnTk6V5lC/xqDtJuoWqgEpZR68VV0ivoFisKzV
PJXkT7nnCld8+q2W4mBP0h11cscgtohW0Fda2aQoGPi//MZs/X8jkv0JYwYy6+8vvAC+/vSH7W+q
15P62U63n50q5D9oW8t/+X/6P/6dDfY8iZ//8z++1wr8OX9bnNZ/woYZxl+ixg7Vj/Trj5ix3//9
/4aMBd7fbJ0ZnWMbnu3rthv8xz8oY+DHdMsOfJ/0hMU/Qoj8B2XM+xsUZsP2fN8HLgsk8p+UMfdv
nqvbIIM90+MoGgTm/xVl7E+IMc3kJWwXtti/YPMCc/FHFaO3lTRac8AHzPmWkCq7/n4U/sSm+yPE
zPs3f/3Cvvz+dSPbDOnM+B+ZpyEV4Avatl1VxMeuyBweab3tPnuQ8qB6jSGi4cGQXrL+61f8Myjy
P3+gf4HnBuTefC6e7rZseyN7MHFQTGTCl9e1CsdrD3/9Mguck+Xs71Dif76Mxy/zjz9YR8ItG+LK
5fYhlkUHW67ihgqU8q///n/zxnkLEu4Pb5wXNLrIgsndKkPYFzfQPP8mueHhTSO8OO40bwbIXlJ1
e/vrF/x3P9DyjfzhBYWvcxdZXrAvsJkd60TRP213Cq/LX7/AAsT8r96xfwFl+uk86BgvsXxjJ8og
kySQLFZ6kANLh8ADpoPV0CnG+1+/nPFnMOR//oaWB+SPP5BXdrnT0der4rhv1r7p7zhCMRWfAnrj
lHLHDD2HHNxKTR451lz3l/xJ7Jvl+a+/hX/3Ey9v9R++A4oMUJmdwdkOPkVDVlv/SvoJHxd0KpLI
/w0e+9/93lif/vgiNR/WAdHJ2dI16L3jbPC4GTPx/H/7Ef5lefhfnJ3Xbty8FoWfSIDEonI7Te41
iR3fEHHiqFCFpLqe/qz5rxweawTMXWAg4rBs1rW/VYR55jcUmzaAdrIPF2DJG4gmoNijHMdn1iK9
53RBi91lzRS1M3CFFRVe9lgvYX7q/yC8DbaJH5VbGJDilSrp8OrjI/2AlMN3CRfq0yUvNaA1YZhi
yJUiGk/BIEXMe+OZPIE2BTYH5xVwnPc/9xAZEzw1Fbm/990Et/9SyhJqJZBuxJkFWHMFeGhOVTfK
gXveFPgPyAWenWckLoGAcrqJFiYj35obkBTaucPIEUCBYLgbxzYFO85UTpsyhxDMGcb0AinKdKW4
hR7xrZkC2Yqs6CDHjmtcvZWHwWBDtcfBue7j0/VZWCN8a2qgrBYh3PCwoW870l5AIFu5e8AXgGpQ
WTuMK8GzVMyxfp/iX9c9Hv/HMoyRTj1/kzB5vdeqNQ8N3Ljvz6uJFf2DHEOIDXkUE9ws4OCtU3kN
5A8WCwm1x3hmh1izAMyAlIQOIozxpjtdOuXs3oPtZIrN6Uos9bcd+rCOd9FCyPIINDbXbj6yn/4M
BNbpzy91gxXgXR/UQej6ftzjhvHbKJFghJUVtOzMwx3o6TIWqsCtGO9gLz/B4RwPg00vs30xIf8G
4KYpm1faaKES3IpxiacsHY3HLtCGRgcN8wUXD62qg++0U0B0f7oeS8VYkY63edrgKQX3iDg23JJo
1ncNaHTgmfDivC0ht6Ib2ckDz7sEwcc8nD7hNjmoR9MYR15TPYNq1DppFDxiCwY0welaLfXOsbaf
AjGY0GSuy4MYBsJTEad8QrI0UD0OXYn0hZWeW5E+ZpP2W2KC2HMSiuMX6Xy+U1EHqXJTEqjA846Z
bKWwhdmYWzE/JfAnKQeMNV72CvKRrnMGEPTw2rSDVUrm3UneB6B8eq03/jzdgMdh/MXejVsTQDEm
UIXOg4hxCknB1IORTvO7ITBi3zuzqf1HmZMiwTwH5d4N0ocUeZ1YRPnj6eKX+s+aICbhY/srHQij
ofnepbji3w5+oHanv7609eDWBMH7dgRYQkcxdVEZZLoJPH+HCaRHMJmbuuRF4aGlvGBzWPG7ESe4
6pbgwJa/hpJwvhLgC3Vk1gwSAt6k6iFjMfKVIGbw5+hDjSNuHE9XcmGEMmv+KAz1YYKeBzGj2QBt
0QBvyrConhxcU8ZjKbqVc8tSNawJpPOMH+Z5wuLEnfM3XJY6DwKmdivT09LXrblDQ0wBimMQxbwY
XOgGgYAEQjAzuH0+3UwLsWV7zDSZniBuxWVqC4Ub8hODlpAfWlE2XQAIq0pkgPsq+Q0TVIiqTxe5
MOWyY10/TU5QmyCRmMB0z0feJlRRQYQku1km+gPXVYNaGV5LpViTxgzEIAzFcThIk0Lu/bYEEEIh
Xy/11JnbNmZNEr6I3CrXMElqQAmPyRHKUQCrejjdTEtdb80BvuemzogFIkZWJkSRLYx8BNJSzhxY
1hSAU1SNZFaEAgEqGfgP76XCi8tKDy/8dGqFtucrGLuBvhZngTM/Dn1F6K6Hsmdte770fSu2AUlt
FTUT3KkEkh4dl+oDzgPsvKahVkRTXH+qVuLrrSBsy0qsZgA9iJVxuTT5/uf69Gn4hxWZkR2FfgVz
aQflxAWFiK8sk1cWyWewBWNH+mAfjdDOBJenh9JCkNNjjHwqMncdA/lXg85W+U/XAUkUyE/4qQCo
ALocRCeQY6wUtRB21AruCq9K8+zhehe8jw8cb2V/YK2EuKIdAn+lCZe63wpt2kP4k0sxxFDnmqeo
rfM9Mh3lygnjOIi+WPptX422wuQHOe0QewzPKQjAN0fKm0GxHO/Z4rWpocaBAmVlsC11jRXlXlsW
IpwBmAXg3sEjI97jEjxtQzBZ7kRtwOUbi5WKLTWbFfJY8YWUHgVKus5xpW44ND9BOoKUc3qULXQ9
saKeC1gKO4CI7UPcXly1vs+gka+L66iS1cpqtVAFYgU+Lm7BvQBK8GC6ZGiehZfI5EYBOfhxXhWs
0Jde1usEdCTAoZAWXUDkHgR4dywEUqlOl7BUA2tB53hKYmEoeuQMp7igbeBxp5EKvvL1hU0POXbN
p0CnoGQQkYOnpioHbjQV3kyaCFC3/KpVYJ6dV4Vj1T4VIpFKBcszWC/+VwVGANrgvb9WhaUGsoMb
r29dmHr9PhoiGM8cv96c30DE+u3QWICmjK/rGSwJrqaHRPl3XSi7je+DTXReC1lBnTIeAhfj4g6H
kY+aViFSqMFNPu/jVhjLsSygFMXHgaAAlZSlSFQfgEI4/fWF+cizgnhsceMFZRN+OjEXLDLP45GM
0bAZkBT20gCvs9JGSwVZoYy0BoK3ULfb46UiHhr3DuC3Bz7m7ymFu11WrtwWLy23nhXSzWxaBXPD
bg/N9gFvtzehjC6cAtaIEkb2xt2nPXsskSuiBTuzalaMu4IbOqVOC5XJhP0DKHnQaW2aMfuF9Ifn
IBrP2yH+Zx32KRB1A6tWbNIhMveReeHncGTpDAlWarEwnXtWmAc0hx+HE0HuxeCpliCXcgMAC6CS
SJRZGWwLsX58avw8k8BZAiS/AFiOGbbFsHOcS1ls5zFFqut5o5n8WwDRkCKAwtfHXE7qKQIs/aBK
2PphPHsbF1zGW8jQyvh0YUu1saLeywQx9Vh2cSIg14+A0YFACol7p7++1B1W2HcAC0HOybsYCVxv
DcS/Y4NUjSp0Vppq4fuuHfjNBDnt5LRxljp3mHV/UpE8SlU+nv75CyuTa4V7lGVl4FUBRDLY8mzS
IXE3fZ0+9eDlRBIp06dLWaqEFeyVbOBjHXZdjOSvW20g0MVl1D204y/nfd+KbLxkD6rBHn1PDAAZ
jXjOJu+F8PL69OeXJiv3WK9PEX1MOgSb1AGCRsxuTEc8FSMnBKn+HixrkjrP4kDAQw9U2/p2zOZk
xyA1Wmm7pR46DutPZfcJ9DgSX44LbA/vpgkmT+UA/rszhcEB+P5u5YSwVI4V9B1S091CIEuJZfk9
HN+BmSCoqyJISdHR39MtuVSIFfgizHTQZ6aLh14pZLzP92UJRhqgXHAJyc5biV0r4KMKzhnKKeHU
5eUfyMHIrjDhBA+na7A0lK14Jy1pDYxwMZv0wx2oZvcQa12rbnw65/MQU/zb25CjQ+mfyi4GuLfe
kLqGA3f9VujwrJ/vR1a8s4GNQ0bx/dAZHmQFUAxQlx6cW0///K/714+sQK8HIRLQplosfc5jD6nh
pguR8QWaMB4hwC08Xcrxa/9/FPRt703kaKoAuEUHu0XA/ksgLPr6uwggIwM8C0lWK3uUr7vaj6yo
d2CqgpUDbSU7bOjEvCe0QcpIuj9di6/XJf+oqPkc2EwNEzi6nrMHVuLCDOSa8ZVeWPrhViiribd+
rXB4pTAUU019UWK7MEM2fd4Pt4I4K9ox7Tr8cFI/uwpPyNHHeR+2AheeEgYeoehXrw5/EQEMfhRc
nPdpK2w73ctxGvw2noAk+DZPLYnzjjYri/TCgAytqA0htMrdImpjT9zLlMV1W1yHwKoHrgtGPDlv
2IdW7CYE/AXFXGeP+fhx9kCnd/1fupmR1+fqjXKK8wZmaAUxRr0GbBh7Aj7DcgGvfVAb98GwMjv/
t8P/InrD49zxaUELmz5oGe+d/XgI4/EyfWVITEs3yRsygaZ72DbvYc1VPJrvot6t3bQtRER4/Pun
MtMEwAudTi3S2ZLb1s3eeALni9oR76eH19L3rVge8I44TZVoQIdRSCGl/k44+ROygqeVvl8qwApp
04E85hQoICz4Q6iqd8g2bkM/Om9Z+D/1HeOTC4lpszclfRiJfEdGwm0T8JXPL0x1oRXY3gA6Mh29
FqACyu78mjcXmo3+SvQtLDqhFdtQd/cgmXTOns7QDZdd9w7TzW1UOd+9jDbndYCtsxsjcJuRutvG
AXGHbOuCWdPueGiQKq503azt9hb62ZbbqaFkAq9joE0w9csZ+peB16/Ix13Z7i993grtHj6xxqdo
qopleBU5LslOge04aIPtSm8sFWGFt0n7ALf/I04U8Bg1c/AGS+hbJDN+Px1pC0MpOBb7KZKhfnfB
QwdEcdL01uSQEWcszOLTH1/67cdCP30cZjbQt3Y9DlvgaTLXXIZ+uC+GeUWHt/Tb7SAGbGhKaNnE
hMAjCa7bb0Bt6jMHKPn3t0+pl+PiqW2OKeHXaUGvIMi+1325EsILQRZYIUzwzAnFsGNiOQhYS/hX
Re5+q/Hzt1roeX+6/ZcKsSK55kMFA1wUoqOMbgF5RbpN8tOvyz9OJQ+ny/jvFuOL9ceWwXWwh5RH
aDAQO3VcIitiw49gTFbyPxTARt0LJNskKRgiR4x4msLs11XPzGl1DFL42iFlYaj51mI+OBQzLuvQ
XSm5b1r+5LDgWxPRH6drufR5K9DbgTap8usmFg7wGITDoFldunD9Of3542e+asNjB34KlF6E0s8L
ZuKhBQ6ZjEDLiOYxoUfj+DC7bbhZmU0WQsZWyCHnRCDbQzZxlCowlqc7QKfP2yX7VrDD9okU0K2Y
GOh33sHJws9vNWgwyNUmuCA83VBL/WCFPFx/xkrWHA01tQ8OJlnwhF8cJb+d/vxS81hBP0IICwSL
MJhR4KNTTm67hU6V7k5/fenHWzGfkBTp3pSYuGDey5DnT1Dv7+G/szJGl368Fe3pqJU0IE7FSNVn
IKrIOgJSHU/IcuX3H0fjF6PUFsOxNEnCLoSrwjw6j1lJvhVaPcBRE0lN3f6sJrLlcEUGcgFpUUQj
+lsdJrd1h2zwbO1hbaEHuBXGyDQWpe4nExsaIBE1xJ4/JO2jlwzZypq0VIIVySToQWLMMEA7ADbB
s/SuEw2vR2j+V05eSwUc//5pqihH4bRjk6IKLDFIWCL3InXvUxP9Oa8HjqPr0/dbw2DdGaEHMKGC
vABj7xT4ZEHOHENWAEcwWoODagLon8x+QG3+pI16Rjr/vYLpwekaLA1TK4jxyG9c7LlN7OItkMsC
x3Z9M4blzWDC/ekiljrBimRcu7bCH+AEA+evFz/xbyY8/RdSv573eSuSBVLbZaJyLKloq02kYZqQ
cKAwO9acN4/aqjR4umgHKYc6lhFyxsf50RD52DnR99MVOA6WL2YKW5XmujgcwklJx2FY+NkmzcHT
csa6fD79ee/YlV9934pj+Bnmc59P+PlafZ+D8sGEGlT+5p1qZ9i7sL/LAgLXEA3PzvzolYYbG/g+
6PzM+llR3ufcF3Bm1uAWAbjkNeyuH4CnOl27pcY7DrpPEdiBRFXzsdZxwucU3iAB1bX6CKNerqzU
SwUc//6pAAaD6Qiv5jqeFMDGsedp3QCeyPTaI85SAVaQT7LrwFUSKuY8gY+UHAOAsbooGMxKEy2E
uC1J80risgG4wDgXoK4T52b022arvfzONa46nO6HhSBnVpADXz+G4CWomErznWcTrH98II4ozvUr
1VgqwYrztoB2E/YzuNia5+qjn8fpypuJ/AVbtmpNibFQhi1SG8HIM8OIpqpTANlaHw4+gKmChnCW
3Man1sa7IPVw9FFXsalCdTE1bnMAgT1dWe0WRpItUutpTycFMDA6moMXWYvkAjmVau11funzVhxT
zLKcTOjiqBK6OQRdiNTbo1XB2ilyYaDakjS8jsq6Ur0CKgfMwQZXmsaE30Ho+wV0/Zn7SluMFsgS
OKjWYBix9jlLmkcY6r5EYROfjoOlRrKiGdSvgRZFomF3Eb1V9eBtUsbWnjKXPn6c4T/NRbqcgtA5
EhtanFPfHN8jl52Ed9R5P90KYVCj0zygvI7h+LrFjS4QsgXsBM/7uBW9ZgIVUxX4eFi37Sap+KWs
VkVsx6vuL1Y4W2WmsxHyzBDmX3k+Zc53uC97MD7PgeegT77bUXPtpMJ3t50IwumhCUSgLnVEfLX1
WMfh3qOJ9OSWRWKYYuT50GE3DFNufo2hD1xKhftuLJSyrcBeHUQCt3p4V+ewXAPV5gEWDnh5jSjx
+ze3lTJ7jkTN2wufI919B8qYOx2GMYJTpM9pA+ZSwBhApsx38nc38WX3p6iCFDd5stXlnY8rAmCL
szyYYJ3SVsN+UGaEwYrxIv4UwSpmguRXaHPwKjp1F7iGnZOLIepLmEYHyncvh0rk0WUd0Eg8deOY
eteuPtLyN6yjYXVed9qiu3JkAA90tI4dvH1vjlYnPAQt8/RYWZiFibVhgaJywvawUHHh58DLV/eR
l1yJIDtvw0iseQzIj3EsCH47B2C0iYqroI7iOYx25/36Y60+BSnvIfTxylzFBGY2G5gVg/ky5n+Q
wb6yiCw1z3F2+FSAcRMw9vEOiauVPIfFRgPAlfPm5+bbeRWwprAcGdCAB7uIJteNoDwGXALpgBlw
WG153lRDrIks9TO3q0BSiQM888ADMfRw+jPs6XQFjuPkq+nAmshMmfR9r3rMNXA7gqvVnF9jyzvv
9WjI5UQzfdN57spl1FJnWPOarrIWSUERGgtZ2xtgY+CiAqQP0J0rlVkowBbfucD3cxYChmJazZNd
NPH6kkAc/BP3I/LMfY8X/jukvArsUodizPpJycd9Cpj/h+rS8U/goEorgXEcn190i626a0s9CCdt
0S2s+Avt9BV3mvMye3zPimnVDabXU1DjpFz73ypVdq9yduo/JZsGuIbS+u9ZQ8uW1/Uc6PC+w+tq
oaM5BPQxg3M5dHDkBj7moOP1oONNmxHx8ut0gUuNdvz7p2AfVFV4Lnj1MeBYb13dDTGMEs5c8W2t
nQoGsIpAf8b1RWu2MJ+CkYkzuOdthf47j37+6S6S8XmGG68KlMwrAKLkdSsb98d5DWMFOQj5iRR1
jVkcmKSrtALYEYfcaSWsl5rdCusAXMO5bLAVlaIoLrsqzPGe3q5JEI+j8otIsHV1BKa9UXZc4MIy
vGKFusMm7g3Ypx9dCwuTs9rHFtd5xhu7EYfj2Jkq+gHbufljhsVEu7JGLzSQa63RnNAqh8UMTq1+
0MNiPaq8rSuGga/oPBZkbyCJ/DvwkQwthF+EVQzFVisfsmqawq0IKqJ2Q1M735IGoPow6MnBb7Ge
XIX+ZKar1OG8Pm8M2MI7E1DsHQEqwvW5TsOtU4JEvQGpVBWH87rIim3fpTMOI5i0BAXZ7wYosRCX
JMAMrj2HLnWStZLPbmeQik2qmFIvwzZkyAeGKx7WRyuDbGFxcsm/neQ3c2kqggKaJHuF5+BFOncv
SMj4fV4DWTFetOXURt1cxcpUMM5N6N+55Wu/falxrBBP9AynaAnnkt5lh4LIK0KalR3a1/HNbSFd
6cDbbgChJgaqvoTT5AAiHXn00+TWScj3c9qG22K6Ni1M4iGNDsyskAJ60A+Ag5hqJby/7lhua+mG
AEioCn0bZ1M93ySuN+7mNsq/gX9KVkb/UhFWgDc5q2oGWmuM/dpd0M/XAj5xabf2tvB193JbQJfA
zJL5pkb75A67oCLNLgoFX6zTrb/044+lfl7bpJ+FvaRlzOomiyc2m291zvqLNOiq8yBOYK38Wwac
f5H8X7klNskAmusovBAeeYbLxpkjyApeONYkiYgytBBLh5uwjdwd1iHycF4LWbEbDXLqBw+rf05T
JBFHnPH5EpY2bNoNhVMHf08Xs9TNVhQDmCRCHxbz8eDDtm8zVlE4bKXjRvV5PW3L60ona3QPmGRM
iu6pqL1d17pPYJLuT/9+79ge/78X4LawDniUNnQNKsDhaxQCO+hV/YNm8B5N662uYXoGr8OJir9u
DSOobO0+ZmEA2zq7Kg9DR0JLuW9m6l1Q2SYAAzrquUp5dV6A21o7ILS9ziVNEcNJSh28Jitg10l5
3GY8PLNzjrX7FIZqdkpXlFUR93Pxu9bFNXGg9p3EvHL5v9RKVph3E9hO3YQfjk1/mG6Ria7esoCb
+7mI6v6sRRSz9b+VABpJCBBxing2wTsc7S7rNH1W+bSyk1qIEFtex3oXT+lIKUVidC1yAPtp+i3o
2jUlw9eHbW7L6zLSVFUqjl1Ac4CnO6WvprR9zQcKfK90/I2oSrYyoo5Lw1exYgV7DZeTcTaoCna3
t3nmZiDHG6TseSBjAfSzdphcaDFbbnd0bJx4gy2/N7TetMs6aF/hIUx0s5LusDCsbKFdCHylwvYZ
9Uj9aedJyu4bRcx2BojgvF4PrP355Gd4aYAv0S7xkrG+yl0P1pIE7ugrVThiGb/qi+DYR59Cz2cU
nkx+h2GFLAeYNjba5aCSgP2IRBWPwzFwVHWzw/u7K+PciBB5VTks7V48juw3VcCCrQyY8xQkY4in
rgnKwCN8OnKKV1UTbzgMakg1PAby8TeFo9R1r3K4X2Zpj4y9Di7wsGrL0o1bZmz+lnpIVXo0Ip2n
+9SFIPYuVynsjWjppM0tramJtpSIul/ZmC51oDXv8NkH5B1p7ftE4Bmtj2R0MwA1fzEwN385vTAs
FWFNPamT037uexnDDfRHI9wdxt+jdKaV/lv6vDXp4DA7lY4/yJjODQwzCLvUc/sa6bXD08K0EFib
C+B4ymRuYFaTZVVBkD80mXYfTdBi7GCK4cxwyuzy8LKB4+V5agluqwQ9HXGfwUMEd9KOD49jWCYk
ujz4Ph7VW6RIrawJC5NQYE1CKa72PGqojLVKMrBCHUxAZLpSVXXwh2bt0Xahf2yhoOcmWSdNJ2O/
6LJnaNbZPczbxl9j7jkrl7BLRViXfq6IgoQoLffNSKW/m4qxDf82DDYDFxnsvcjKTLTQXjY3D1qJ
pOt90G+SDK8jh46PHlRuSBjIyjkk27BffcBauDPgNjMvSXFvI0whY7f8K8JXyKT37Uz/qhympAZW
e14Ic1UCa7i1C7SvH564rRB0RuXhSqKCJVPlXKReugOLB0bO7nbW7WaEXxMp9GGE1c1Zc4KtGgyo
kOFcBNEOYJwA7tdFA1PIMIIUwU/6wl0Z4EvjwpoaOL7tZ6C07Ma6UzdjnbGt7urqAW61a4mlCyus
b80OoKnpLJvwhBYEsO/zMy/ZZo67dnBa+rp19OgzXJjSzktjf6LhwWRTts2L5O/pPlj6uBX+rq9g
TBkUYuf12ZUr6IbV/krDL3zalgweiaUNsnfEbgZ1fWbYkXs6Pv2rF/rUlgoC+V1nDSizO5mRa9jp
XUT6weTnrYa2UBA6SjfAkBE7lQ/6CvmJ+WHMnKekyA/n/frj1PJpryF4AGYsdSKYagA2HFaq2VDH
5XvY+32cLmFp6uDHhvtUBAi8RnBgcOKqMh8k06/IT7wDUuER9qkH4fj3Y5/2G2TxfJRwTjtd6MLM
aAPzEj9IHPgAZHExkeLQ12K88jRmx4Ym3hYPMeHKRL8wS9msPGca8YRUmgykT3pt4LEoenEz0GHP
gUaHEOUG427eVN15pExug/LG3NVdQ+toh/soZzhUx8wVsCbDeXe63ZbixIpv+HK0umAwJRaTf5P0
/DBx/fO8T1vRPaXjmJQJNnaw3kEmfVdhKi/40+mPL/SDrSPskSEx10ktdqUKfogh2Dr9a9i8lbir
oBU8m6fuyOVfWSsWGslWFc6gVTV9qzLcXifurk2n7q8wVbSmu1uYUJh1vogg92aBhDVIyOqZbFov
1fB38P52vZidM6tghX3nV6IKNI2Qcz5vRvno1WvvnQuaSNw9/RvuzJ89gNqSNIbXLO2vS5mX9Ffg
jxCJQD9hrlJ4eRoIPEgN1O88utHj0Jpa7wMk5ra/0hmunHGLDbo5662B2/y70dEe6DDt8bhm2uRS
9lWZHfKgUM7KXLM0HKxFvcqy1g9hGLjrotnhV6GspvEAijqy1E8P7oUNv60yNK3sZthRdvsOHlt7
KfoHOP/eSWE+uDscOr2WwrkwadpCQ2wZOVW0RDkqT7HHcm9hf1LB8c6BO1ewIkxfKsSaBlTQs0bA
FmTfd4PcOKV3R+YMhhXeS+Q1K6vmQhm21pClHegsHZIBcjIfqmp+aJL+NfD5By5T3k/3yUKn23LD
Woah61LRwm0GxvKh44BoMzL3cN7XrSkgCSfpMocevb+CYVNLk9wVAW1/nP76wgRjI/EYrtqo5+t2
D6/tapP5Apq0NoLTcMjW0qCWmseaBDIzeDXeptu9APXgu8oMiF6+Owcre67jOeqL2ypbaTjzdNAt
HBv3ucEA7RrQ6V1+SzKY5Sl2ARuVlzRYSx5cqooV3kj/pjMNebPPIq88cLeq4Fy8yidciG0bf0cH
QudCts0eftZ77vE7RiG1jhr9t/OQr5ZPf073+VI51sLeDRrAuGBq9sIrnjI/eSiD9LpQ+p410/Mx
IWhlYVkqxwpvLjvfoRo9M3jevcETMp6hnorBkZugErspWxMHLfSKrUt0YN8DB3UKzhRymXYR8vm2
mOTXmGsLEWJr8GaknoisNw1ciMl7VrBHoC7+1ipZ2TUu/fhj433aEadlWta1Yt2eR/CZdQiDdn8W
9f50Vy/MfrYIr/AkNJc1jme16Lp0P5luAoe1K7PyMPmkMAdmFFlD3S/0t43AEz0VzMtRFRg2/Aa9
/xb3ha894QluH8JLGEh/P69Sx6b81GQqFUHb+ijHKXGppvlwN6qx28o0vAghpTuvECvUZY6JJZyJ
2Ydw7N20eY8FysDcNWzJQ1OKlSfspcFF/q1KBNZDW3Ju4IDX9YcyDckmc4LiJpm84bwoJFa0TyX1
/dkMZu/hLmCDBIXfM8tvyiS9H/z+Haa5a3S8pe63wn1OSzbXuOmCn2mhN9JRV6V0c2QJJfdBW/yt
dL9ygF8Y1LZWrwqmoA1CofaZhPmVYvCcy2eYexu/NxszuiuxsxCZtlpPMFYYL/dRTKvTbZFID+8g
ebc9Pb7+g7l9sW7ZOr3Om2bRmQQ3J9AUBxKvnRM9yKQetgAE3wwDssalM75wNl4infkuypg+AIBq
Np7mh5aP7nnjw9b0CYqiOqjG96lu/yKXIgPODlZz2rtVQAT6+rysfixf/w51PFngYWCKogNz+Aam
z7/rovp2ui0XtgA2L096xBOS6uAAV7lyy/QAo3d4kV6Ipuyu+znpfkAxTmJZivS8TZkt6YNVJa1n
UOwOsxgLvm08r62vfa+owpWJYWnwWRODasIOZxUVHcI03NeN3hTumRvK/57IP02fQNnpdiL4dE9I
PGctXISb3emOWPrV1hQAc5hMpIFGsxyRX2GC1KRSd8HKSF2YLG09H/A7SCKZarYbkS3AK3lTGfXg
+sFKRC78eFvK53IIxWhZsh34HIeRk3tWZY+n2+W/OeOLYP8/HR+oWamhFQMIPfwgxcD/gF3fXXVC
RE9107/SIf/ZKXPnm3mKx7TvLnTVyicJWNIett0urGjreuMVXb8tKHukkU82eQS769O/b2FGtVWA
sNrVedHVAZ5Wqvy10AXeBeejN63j6SsGoMjzeeVYc0AG918WDsI/lMppLpDWO1UfpEPmzkVSzkN6
22Lns3b5QAjc6b48GrjHnv400oMJnq19ruF12IxDNcIyPSuI2tcciVUN3Ce5h1GaaqTubVNDooBt
qJwnnCJcxQSBFrHVcNWoC+Wn5UF5SS7BY9WigXlrkfn6jdIB0kwc8mHuuZlMMpgBOSUZhc9pCr+q
u74Rg+dfjuA+aOgC+aCK7wzJRfW32qvMuOlh2eyAV+SCS0rz0tVq23uwqlSHaVZekOwm3Q+wrGNR
jYOGyGrYrQdhfkUl/N+hB1DfecCCTVHM5qepZ/YXdgXI8A5m7QTXIHSXYpPjqDtvomr06ivgyNIr
Nfju7VRFLVJRpwy24chDLZ0mrrhg2dsQesq5qqqcJfDErk12BQmWHw8Vg7Oym5p70kx4TZQZtPdz
mEqYVpQUxNo6mMoDbne7ZJuPQ3LgcF3fZCy7LNJofk2RCPBSeWYbjsmh8OFxGxp+DLGIbotsGMed
ELTc+rkbbkIYtRc+21MSZZcAX/VxWDXkAFnqTir+R5npJkWG0NYLxls66AOvkXIg+iGe+iLWJNI7
tzfeNguDbePmeJKciqfUJ1uj/5DmOq8HvanHZssAT4YH3DXIsHBFOEQ6jRtdXI3TE8g228rLkU1y
XdZYcUGkTuUm6wC0HGqsXB3Q3fKNzUUsidtsu6aDW+l7gjWnNPhfur1v5Pg+Or8bL/8DO4d36rwj
6et21uRuDNVGyWo7De6hLdBWAId10CSpt77/gxOlPz4N5NlM5go8pY0x2WVG0GLKbPzpewNL+nRu
bsL+x5Ckd2jzWySNXPKxfHejnmN2GDGMp2zDs/kB2StHE3lYHbYQbIxFnT1B5wvCl/DrizFCIvLo
9M2d17ZsG1JR36UkETEE2LTY+LI4uqdzOu0wNpHDnOTYleIS0rRThIZv1A5WntEdmtbdDFj1UAc8
z9Y1+00nctlU43Oed/7GDPyqNMWNmNg2yOldnxYHdwpvieh/mj75nqf9B/V5AWS22iFjUCIfd0BS
rpO+kCn51rXNA58x5LSmcDju1L4q0vd65r+8ynlhEXtv5ui2CLJtPQ3XnQvPY4d8H6gP9nM5bV03
dfeBTl9DAHOQEr2TpL0rMolxUfa/nSFvNnBe27NM70T3XIYJ9o+HRIH71HPktk/0ws2aHzLynmlG
d0yZAAao6onOANlG4y0nL54fHODlsB9zflORAA9JLPreD8Vt5BZPCSxJpny8KYJwz1UPlw29c0qJ
B4dL6kcHx4ONfVoqELabuwb4obQxuyR1L2s3vwDQYp914cXgjTFoJddJWsGp3rvWSXuPRKEEBsf1
vkuTSxgpbjOZ/US4beZC3CfJ9CLcZgcfve3s/ZRz8BAgL86Blzn0dNsJ6z2mwRSStwr/zqPoLgNa
zg17OKbfs7q+aGfYJEq1h47zoWucQ+eruwRDKlPVHqY/+wFGFV4T5TvTFfdJZi664iPwfxMqfyBN
Kq6yEMk52DVKfkVEs/UNeyFZihNtuqHlpYqyZxKSS1fB7SbBsQqmCDFhJt8hU/GGUPcg4Se00Rn6
NDRDcdMMPN10JHyfvPwQ9vUD7ZBxqHr6DlQ2LtnCd6LU3Xz00hj7q8SrbqYoOxgYFGxKtxqOM8Y3
GHHBrHa+SAR5LkcspemEJMT/UXRlzXHySvQPXaoEkgC9AjOeGc94X5K8qOIviViEWARI4tff48ek
YscekLr79FmgTUU7nwh1YCR7QjWCJ4zjtBgoH4/pSuQpq5EkKlJoNUbbI4xA73gp1mrD7Fz5dGsK
tcBfbo0Y+7l30rwiMk6MhVn8Lg/rmpi3tcW+qQCVBsn2Sc5eW+9FXmTOrK8mbkI11QMefzfrcmkg
Eg/yDw/zXBrYjaRI3RXr8Lr1IXpi8Qrf5GYawCFtoxjnuicW6vg677K7htH6k/WIE0FcuxgQWlB/
B4anHB/Oh3DIOi0gSoCPeNOyrIeifpRLkdNlfWPbZj56oeBxGzNcqdUOO7Wh2OqxP6SWNLrMGfXL
vWtCeJKwxkWArwSf6MKHVP/OsRT/kWdA2YZ5pg+MLdEt+Y4Ml06jhdomr8zR+nWODn0s0M7wPe7u
+ogvv2kENngWWPMTNr6JKkHYHn4Mpl6/Vf/IZN92c5WuycvQ9+ZcJ/iOVeI1MWeqpxWh6RIOp+e0
DZu4jr2Mu79pxO36Erc9e/VKgIeSIKqZFssYjb+tr/1vKRPzkXcLwTUxsrPH3vQGQ7/gDyOq/t+g
xy2uJjuKGzRtP7pefIcsIwTwsNiJ44htkVgrbXPoR8HFohcWD/yISG4zH1u9CNzla/LRJHn7c5f1
gGOjUTBfF2uH85LFzeu8c/KfUjCgQOJT7el168X0T/WWkgMiodafUIL5v4hSnyvpVFft2tDzHKXs
oWt88ociGn3Ec6TDScUkPDR4ir860JZgG7fMDxtyRP+TxC3saTda3FkUpqeepdMLPDvMa+in6cRW
MeMMsjQ35TKkwPikn8lJDj4/77WKi431+WeDb4VTms3oG5jd3y14F+0lT9LsPLVTUyEX59ccM2sO
nadN+jKIufn5HbGWFAS46H9LlKxHuwqbnBeLPIfHFU7DvtIbCvEU2IDzxYRBYQpMP6Z+sIcIKWbP
tePuR5/H/p1Zkr0NS9xfsAHgx8YYdzcudXOEA3dyEjwLD7gwt9/pFs0WURSuRYT1kp+Yws8UAvhr
34HIpRB59MwDRCUhbUHozfAp4v6IolCizG3vs49NWw1t4BtWQZmg173eel42y6D/+X3qn3hrA7zR
t/reOJf9yKjqy6iu4xI0S1o6Hhv8LxMqGCbAOkdaaEfhlvU3rbGbwX2XGyTj3LlpmueHJmexL3cz
4+oNXtPxBS4hPiqhnpu+Vr/lhBboHfMfsxDsUzeS1LcJYcUK8mJku30Z+FI3FUIQ4wzx3Srezp1v
En7wBg2OLPyOYJGThzI7HHaotKJi3/z4xMH/tUXsM29DmXI4hR1hk45ta90RpYpsrJ38p/Giuqgg
eteTgu9ktm7rIfQjIMmzZm5Z58OYwI2l1w4kLFHjgnhqYDnWl13aoYiJvC9NY2w/lwi6i+xWTmNU
rwVjPEnQ8Br60rRt8ktT9crhElQuaookBs5JviLXatsKTmWKu89l/Zv3iTJoAHOlprOSYOjuac3R
wMioiQ8ZD0tUErTY+p4aOo/VilvwxcxKNlfXdrwUfvfzsQ9+DCUihkn0Gw3PGm4EAfXJnch5lrQl
NEaGXfPMifXvuiI18dV1EQQYLraLuJjExTMDtQgWynu5Jb1o7hu9dtnzwBDaOxTjsKz26rYk3HDH
5OGYNG2sD67pI3GZVscjpMfvlLy4qXZwMsOH/XMElJijR0w2gqi1hb4jOKDdStVRB3Rf9+1v5b9H
OZclubhj/WSGooFn1l4Qk5hP0qG1qHwtkS3da7/zyjI0jD1BIw96pmnEg4BnXaiMHPl+a2fkbT1t
LfPrgQWEYh9yhAV6fOZe+UPX5yGrakfn7mQkPH6rMJjmL2Qoa3sa+7idPvFsArxjkCe5lrSpyVpK
HPitJJODkZoiFg1WDIYkeLQInuyw49xSeYTcN7MlpMsDvWfJkuuTgfAEsfSI72MPyHbMvrQ1uHzG
0NbDwYxp1BfbCBH90blt45fIOkBfnAwLq+BembcnOw/rVPGp9mnRJDE+w4TV+68IDmi6aJFKLw98
T5Z/ytFYIFmHp/q/faibTxwsPlQTnLUfc0vbHfCzs6aEpUyfFBtEYOa8LmtGytwJPZbI+MvqI7Te
Q7hBkWPzEl8asf+WjpmxhGgDk/fI5u0dOZi4uiVsir72kfl/S073z7mJ9VKuooURHx5Mbk4IeQpZ
mYU2ggNDl+wPkHyo4wLJrK3GLc/yY1uPuq72b3uDAu9GvN4JFa1pNfSdJPcUGmFeQLGGf6MQKtGc
I7gvzQcvxjBVq88RMoPv6LojRRwJqJAWBy++qGlu6R/OFww2HKvVX7JvHKaCjkZ/2nSi4W5M+y06
sQZpjSfEJfhn2aTdWGmdNN23pX5CiqxPcL2ptJV9laTNxB5j18mHeNiiC7he+39Cx7B8cJBIbzB+
ECVohujvYIifu4vKHUuO0xJLXsBHlf7AfaH6o0xSDf9inW8Pw7RkvwPaIlPUeJh15WPJ/prM6/1B
NeO0npAcn7zNCIrID03MENPlvF62B5SgXRZGDKmvQrwOaRmhzZCn2vYKpLZ4zZIyqC372ucu51Dq
11MGYb2wXZHjKSanmkZotBSk0du1Tdosvt9ohzfWa9aNx32OcTixP2TigS6SDEezqclXSkbJcIgp
aJrHaAwkx0CE740JYgB1ut1xpcNLTU6wZt66RBZYgYjwUHsy2xKCMbYfgk2XHdW01/YFru/bXnY7
2RSomSTpj1RRGVcZCF1ZkUXR/tl0VsgKtXQBo5/l8cf3W/kEYRK81tuoH+ML8LT093ermRRoyNlS
2IbI9YQrDuTluhbtWIq8G0HpZkmcFFAepV2xSx7Luy7MY3aXWQGWgHP44ArehvXL6t4u1eJg/Vkt
1sAXw9IeVPxUo+m6dG1tScVQftYqS+t5ueLo0uWiVogQQYgkCMfjqEo/stzXpmQYKDG5JkI+DUtN
6ov5NlstMgnmZGkNs//2eZUpcIxsvOWzjNF9eotXVqe1h0lthoVVSTIW4PiujPha6RJMwTDD9edO
KpMddpx3XbK2yZ6QCrp8BP8tDo/0aj5dNPLnLoAHVUdRuxRT7HgG+EQRYD8wSk/PpkGXhNEXWU24
a/JYvQHx0w2Ibt0O6gFV6d7csshEtggIpJ8l4KEl86aI9/H7HnCpbPauaKX+vqXdulH+gejMGTAK
MsO77qUlq40RID1+1841mhayHjmezfKbREvS+mJxbOrunbeq1oVH/rQ4wTUE4K6HG4d64CjM+kWo
1aU3h/7bPluNy/O8LbsTd2sPP+tqcokMV4r82idY2Sr7NoyjxKYlYHNPYSuDLu+/umF9er9vQ04e
gDvN8mhYlEyXSa1M55jV9eLawnmas/9soxr9GFMYBZw9WKnzbXDp0kBmj2BVjEsiFJObRXyOqbDL
I7dTZH4njc/1NdXUAtoyda/rP6Ob5+G6gjaiIQ8Iav+QUdwuz7rref0A7WpLz3AfSvVtnRMEbR+6
legUYpaIyr87goI8htp5W782JIA36EHzmLWXul3CeBrBHEpUAcXCRg52hFNMseHNSF4NmpALTXo6
nbEl35IbGRvkd5dzHHVo8aCXcNXUZ3BCQ8SK+wtcokfZRRLpMhY9hPIUxbtJ9H9d0g/umY05ol9V
3uj4lWM/Q/4RCCCSM48YQIBlxnH8Ujko3W2RdUPXfG3gqUfooOjUeVfaKWPzOY42sn/B/LpeznKs
l+TR7M7GdwhS9k/ZsJizxZplu2JGSOtfdBtS+UlmTpdP4gMo3Lh/oxUfuqNqB6A27iP8aos6jfeZ
FJMxUf+YZ8vu/0SIwKQg5cQGqtFKCtNwXWZOrel9I00Svro5G9VloTkUKkB4nRGFwrPqjkY3Kv/L
l1XGbxihpT9u6LW3JxJHefRGbJLLy9Trdr6Jhnd7lW01Mc8aZgwYIsFpRHhMYVNoTvJbu6OUugK+
sHqvBkd2z8vcChQ7XO4ROS/Skl5jO0vydChytHEb4BSkCGLooMBF2Ulxl5qTB8OaVWldR11lSD7K
L52ODkAH9aSfHsZ6qhNRIEvEj2CLpguuNdCqxviexw3bHmNDYC6/j3Uu3vyYwHEtj7t6eYvokOO1
y0gEQmaT1i3cjTndgZri+t/vRz0MkQe0x2eNXaLqWvwDzux8W5oZP8s3A7ZTtwmRzuMbOtNEjQVr
cYdeYLbXLqBomO+bQM0AQ9MSaZspPcxEJmOJwJO1+2w7EET6q1nlHASQFrx4HyMOGv2Y2zlQIHoE
1ZuWmaYD+YSNWNC0UkvGcSVm6aYhwSFkBKoZbXO/3XUep+EnJ7PbjknW6bhEK2f9JRrU0qIdUutV
oF92S0Fj02+XXLu8Gco+7bFUdqDiLRXN43g9RTbs/B7754y/EyrGlRSrlvH2Am/kdulLZ2FPc2XR
9B2+iDV7Gj47h1bblb3ULdbUNHTAhNEeMlBTFmzBHqcklfRWUyXcU5y0oQVbidtag+1D4fdmi82M
nToKdD/ZHURmakGLou3SHnlvmtagVsUNkI586A0fgGp3s7tuoxeqQEtNmwNp44ngF1sWcYDcbcWb
+A1iIBYhteOBe7GMJ810BHyVTotCkzTCzKP+xkU3i/muSNTQJM+N20d7vy0pYReYT6w7gAIzoYsw
neirRfKGXkBIpPMBsML8R+49zS9oUXvygPAnuxy7ffAt6jg8iy9y3OupUgk4ja+xTRT9Cj2P8hJt
WJScxmZs2HWMGh8hXSQk4ZwI3gEkaeJWPE50pYDalmjlB0qpquIppie4mi3dcccxgME9dttYPffx
WJ9Uw7ep5AmpU0jxbNfcBsKXDxAuMFfKFohH1dd2So8B+2p56JUbcNr7FXMlKFfMFVGb9vuzRDx4
fECad46VBRCM6bAGScUbpKmrPmc7qZs/y86AN3QMmtxC4oguPwmkJclxaLlcXroMQ8B7Fsfp/lrH
O4+PasPgfEYUGugYkGOMyDsxjPbo7NkCmj3xKcBU+FhEqPKzICW1W1g+ADrt6wN0bTSuakMaeUyZ
3q597r09Uzhf2VMDLWX/CKBrfhyaoLqD9jwWR6vg/XZEgYtsxTY4tSCYfM9JaS1a4bpwgxauyuac
bH/MOqbdARvhb1oK9igLRricz/8ARHXtEU3M4gsI3ai5lwsuv1NtMhffhjbKyYcfIpF9dLwTZzas
wEkBqqlDlimwWXygil0Vyogsu9k0WdX6gUMi5+e9BT6AlLMTlkORKWBb1JuHuUmxmdmGKMV9Pa8e
OCLujM/UwXT8I3e4HH/AABPDazFkeQ2fDUxPXTUGCs1lLTT7oRvU+IOEH9jLCpcR9BtCb+4ZHPNu
+CBZwz8wtGAG8fUCLFNIqpMHN/VK/kMWkJfvuVDb77mBscZh9cr1dyv2TN/8d2xX7hefpcCltzRX
V7mizb7vIKG2aBPkYN592gPnYEmvkvfUqTCyQnRBMl7ohkbr764O+XBq4rGTkKGT2p0YUP1/Kw0U
d168d1YWkO77GSsUMFTnAswa/biKer6t+FpXOE0DOByIJX9yJgV2r+Ep96LmHquWTa5nE5bsgSBd
7DmJV0efE5dgJZDwLQcWms68u0Abu0+AXTL614p6v8vDKq49yfmvFMPykW8+HFkN0A6+n4CFkxpQ
7SIsVgcxnMkmDqY+E85esTmA10qYu1sOhdYxxd9VS7rn1WgD5MlOI7Fyp2CwmXamd66nAihl7J8H
8At+roxmYB5EBl8I/tBDrYUGcLz2b0YGqCqgbf3LlK8vyYiV0yj3n9KH7YAoK+OKdBTyL13z5lfj
0+4YZdOCgcTtx6hukmtaA2YpdlTeW5cLumA31HN6hD3Sdh8xQs/GJDDhChND/B2ErqUSQv7G44x+
tVL0EigNMoidgbu0T3YQZuoxnv/x2iBhme+reSfr0j8OevZ3JEsxUtUD6/0xSuatRWFQY1KqfMDG
jSlEtILmzMJBZJxcwNHmZ5JszSlp6HhXp5OGxJH3P8Zpd8fGienQNvg2RQt1bwN0mNEWyyy/n6PQ
510JCJnA+VN1D73Vy1UkQ3tqzQqoBc5908ENdKoYOhdVxOuOGO6xxziwzjZ65GNHbgT6gSvgz/gQ
km+QbNnjV7b0zQFlJb/vkzgG4NVS8aftUwyufArkGMe9PCLLJX3N9qZ57MYUNpJJklU99V1WsMXt
lzmL/aHRWhwQnWfgv6k4LRdj0rYgE4Vv77AQget1Cx18EARlSNuw7V0YeijSNrw7X1YtEBQ2gOME
xrRCwCTxMKgEoKD0+QuGZP6jblUjKlwJWpciZfETj+o8L+JtzP5rIpjDYfW8YaoLWuti7nxeYJ4w
SHsSW111IA+9LmImG/QTyfA7olG4YX8gf4nW83O75+NTD5O89TDBNLHqpmWv5hbh9T6NyA0hbeZf
or53WQOesx8dqmaOxhljJ6fbGRh/AkaVAxSBrS2FxX0xrmoHJDXCvR1uRHp9QPFGqGOcJ+rUxkv2
xjRJ7mnfWOittQplFm95/B2QCRzSdBx0Vg1hIpSP3FUbMpquc51lv0IexptssUaruz67JFGIh0Ki
Sb9KkPwOAYZ1F7XDJRmOpdjBanjOld3QqNuWZPFPQPIYOuchU39yrdpSUBKqBVPHfZTH9inHxPKj
ZgPs7SN4PFCIcBqqQ5W28be4CWgfK3pY9V87BCFuRTAWrQujsMCPSFa/t9FAH8Ym76ZirtPtKrMs
nOvJbNgtoOQ/SxpHr4S6zB5zOWBzCpv+Cesc7ZYTsLdvsDUZ0MrYYb5Z9GGnpe/cw5bS4dm1vAEa
jC1pnMC8xo3NjS0g16+oBXc89hyUw2a/j/Yd3CWgvAnHW9jqBh3wQFtA+Do+tjlvt2JGVkrZh7G/
t/m8HjfrfygL3jABGINpYczPKeTZT/uufquweVDMavh3txO/ixy08Z3LtxJkhOWwYp93RwRbyxH1
9dpuGmvfPfpY8N8cOkwqBIlRXzua7s8B1KGygRAYekLZH2O+I3EVSpVizm16gmslVtuRRogwqcNw
N+lsPmqIYB/WzfUAVay8xNzTf16a6AHS2O9ed07dV3ALuaymJVjf5+Qgur2+m9ct+XZlWZ9C3m4P
aSYSYDo9y3VBhtZUKSdxgcmTVjbrh6vPhvRjarDfhjJnPgH+FieYiM5Pqdn9WUSiway292iGxPI6
1AiHndWGjdHe1OFvRsV6FOCnlyE3rjSYTstsRfIFpwKq81lFp2ibxoJkIkaJJTVAsDD8i4f1NUdO
PVT08XCsgda/KR3yYlJAdAtchBJLc6CpyaxeEhTaI0mwTS/2rI6bBwB4E1JWSDvUNwMzLP6E0j2P
R3iY/rCYiVWoYIdXL3ds7hv80tveQuBbdGvNFD2gk+LJ2QO6S39w0ob9TqUkrA+kYz764XUUhuPS
ptsUY9cqvXoZssXLG0V6EuZ7iGrVdt5w3y+6wk4wECTBDoCgqt2AYAngVLHM9QX03gbmzxlX3Z98
RHv5CwawWzjMPLe4+eok4BHlDZgLDbCJuzlbAWCgaUcC6BWDjG9u+Az65LBbxLMyUDIk7uBittkS
3+cePn/vjAJJugQfeXT402Z4cwqTqdvnNGKq/Yf0dOgQSWpmpG0t2Ezp/zA1aUuLOMzDhje8gX/p
tkxTvBa1gtHLO6gWOr2ToJPs5wQy/Oy+htdEi+JvLe1uMpN5+7aTwMa/Wb2q/i8T26CbIhY4Zf8M
22iPLt4hweUotjlNKr/shCLBIkFSiZvCOLTgD2ydPqW54PPJtO3YwaoQUGRbDg0u9aFENrTdTxsm
mf653qXzd4MgzoAXkNTyflb1WP+Ep+7M/nOgs44RwGk9yBdjG/DACmN0zjCC1S6LvoftLvuvxxbA
rye0UmEB1YjAqfuRMI8dGpBm4oeTRQTACBRPy/VXlPilu+Fd7abTjnCAAOb6iGUkB7oq/oiRwge3
Nwne5x65DaqknBvyMUW2x/4vxGGNYIow+O43MKwJxQDJRnCznzI4s58SNk3LOUYhH9+Fn5GOe9GE
YeC0eh3NGU8AYS5V3EaeDlAlDcP0BwZ2tr94iSazKSLMStMn1abPrnyIo/0DzqHxfEsGv+gDXgw8
1hJsUbz9ucAfTDUwjF5VC4cBd0mJb9n7MMe4mYpOcR3/JWKfm3ecxGF7hXjsO1VcyZTPlwSWHGAf
pIjxAiqdB5H9jDaUrl8wDmb9G3xVQozCOg92/cgJoGnwV4B5HqIMb/VTPMBp+JnTxo59gQZfBoAE
xCz6hpF2iu4H+FOFh10JHa6ZH/UEb7x8HRf7PbIi9YdqsqqPZJfGHowkncEFv0XJE8OCZsgK7Dxp
dg9rnTAeHYUX/bEeEDWL+3ns0vU2pXzgukCfu0doTLTsmnNrlzT8t23AddGfZ9bHb5FVw3qqmctA
Uca+Ld2PyJ9X8hSYyQCDYuG+x++wWhQGvBPOustQU79hJ7wu7l3kRPdjGYmUKHPurUO32HRBLBfZ
0IwWdOewDKkxeYzPWM+MAEOnvJcUWz6O5cQEYLFrTXKw0IZZ/qBX4oS74dGBdHe0NdzG2ZFnjfaf
UR9gPFLU8UKH9QgwagN+Mexp3P2qa6tb8Gg3hbPZBqnUI/pq6wKIJjRFj8M64H8ZKGKDCOlBzLvC
WeVAWDBygkwxjCC91GMLbypAT2v+qIUAqH4GjW7EsmCnbTbbSm1iJaHAsj1f24PL2Jq/wc2k74FK
zGztPsYITKYnYCnz9NzOrcz/AjQW2yvvGsrf6xgH5G0Maxe/5AQDPs5zDVOyLzi0S+/B0ewtIC4Y
ZPicVoSnS37vxs2ra1d3eXqN2d5Mz2Rc4Z+pB1+7g9ZWT1jLEyJJ2ZlxtfehyUN7yxLQT54lH53/
DOtYt9j/WoYV99rn2CjbBe4EPSfZ9rZriMPKbwI3v9Y128mfPP7Wq5wA1XcZFvwyzCB16Ag8rzxZ
x9NEG86OCYJ53ZewjrVYTQnJ7ifZbSB9jNRyt51BVVECl3BKuCwWJD/FgE6xlJ7LebTKl7PGAAwA
bwef7ALiBVtvAaFbRj0aSE26q+Xzmn9MM8CXgvk+DIdpXRZ3gEepMQfTBXIFH4K8tLoGSUbMIH5V
TRz5X320gG/kHdD3g3GYmGS0q1eKjTsCwkKPXbFoXiKFuwYIbJI4bHBMjGEQ3EFz/42RnBngsgDP
2JV1dw7v+VSsCwSMFyBhVN+HJAdss2wTHQCpymSp0uBALvTJGAEQ14pzlAiAY09zAm+dBwHYXzyN
PfCJrWQWgRHqEQNUNvdXOEumAdFhIwk7KREwlkbviVP+a9R4z9KyXsCze4iwZwCXZt/0UIEf5WQR
ZQ3mqeT7PdXlhpitaz7UO+YLjcEeQcMtAQUlRfRCSQR+R4wWJv2zaaHIM6BOVh81CF2fQsOI41Fh
/TxgvhWjq8DeMOD6zQGtIrKikgT7R5mAAlIMUAuPuCp5E+P+0t5lvwSvu/0daztgvzZABMaCcNub
iun4C8mZw5NQAj8TpprMPbR7ZvIThY6veQCrNOvKzeDHudspKvpd12YTv3Ypfp8CI7JNX2oTR6GQ
/W7JiaHCYD/WWMwzSjv3Y4yY1LdukvHnrDFslqq10VS0iVyTxxiDlb5Oc83M00Bo1t7BtWIGFaMH
V+FBiprKcrbNMP7pkEgCINnD2Os0TE0H9fU0YQbCrnnUd9miePoUeZBLSz5lDswm7JaGsRo4klrK
pec9rGXQwOMS7nj6ysaM/MSKv28Bz4ypLLTrVrjQRZABFatRcVPNfJKYMNI9vLJ8mIZyz+jelRKo
X1oEvKXkHITkn23GYPhWswiQZwRlQHTkuMzh2zrF2w+TWSBO9QiyUVakNtRdV9i+5cndOvjBvXbw
+VQFJk+Y3TPUzehYQyifPXOT19EdGlSc18a3cjvsDW2+9t378QBUW5KCw1yBnIxexv0/XFutLFOG
3/gwLzVQApj2xslBdQjlvsnB4u+jMPU/07DY7iA5zo0mPagRoB0TUCGxjQRXsbbrXhLsYsQBZcNn
FQI11n+pnBZ2w1PrMHi0bf2H6RgZHuAOqqlsU94lpZu3YEpcbxKASA/Ur8SAPbeXIPia/fNuSu7X
tM5QV0yDjQmo2CF9zjfchtXEXFJXOdYx2z33qVeVHQA3HYbQsHuGBCisVrthR3Wc7HfPTUk6gBeT
dFNearP3Dj8wEPxzFuvUFxnmKfuGwpO0VT2nmj2OM3hIpUZXhH13jy8gIMxY+rZbTFJln/ROnfgQ
ka9cD/YnagGNj0yDq1nCJHztDnRR4/3qwfuthiXyusTqRjyCQNdHhYv39u86ZkNfdPUYxNMOKuMf
xP9h7MlSC/vecuEDWLOkz5FEVIsMaQPDZglodEB8yAvtYVEAYJZP4NzGM0E4r3ZwfLuuSRoIlAm4
/g5sl9t3v77ErGoaYX+h4rTtEQgyA7EujZI/tUdgIyihzqbt3boAii9h8CX0/Yx0F5gdOUgbKqXW
KDn0zu0z0jPCfA93nW04xyoKX7NhaANCmDCLYQTf60fc8VpdhrhGaXNx0mcVWArtisYKC3q8L5nx
jxG4gnnZRx14csgX3m4CI1PaV3PdzvuvOuvYM9zP67+p8gDaiglCvr6MIeBafq/YlebfvpKI6fNI
XIM+dN3AWEMEkJrftk6Q9CIBvGNdtvdRObc228CEyWn6Cu0nVpADDbVBmOOU76P/GXnUpSISg7Sh
UGlj5dWPdho//AR9aI5umQp3iHugyR5DK7a+2HcvgLrbgqMYY2XPJBphU4BLvkKX6cg6TOJgPEvr
n5avATqsIR7iZoING65nYCsKhDeJqMdsi+JqpnW3hep/MMUXWF1n+R0Y8rpEidhBhk2y/3N2prtt
ZMuWfpWCf3eeznlo3LpAZ3LUQIkSLdH6kxBtMed5zqfvb9On+5ZULqtxgUIVXJLJHPaOHbFirRXw
VwJmd1dtdcg1xgQZU9ft20mSl1kY0bJuJGPJlBz49aQ68JGk8n6Yyhd5tNsVjZnuQU5M5xpct/82
+Kpznw6ykrjy3IPiJHKyDEpTWVWVOm0gAuX7OcUlt2/gvsuWIrux5BhebE+Aui1tDrhq0k0HQWVv
1q3hSQ1kmSjOaNsXZacxhaMU+G2hbwCjyidU6OVj32f9Igw667ois9HcFNYESC/gRzqMA1h4VD9B
r+qYIjQ0zBM0s43Wl/5XfQ6ClS0rOXRgfXJ7qha3rQ3QjkIPr2aLZEMJyuIplZ3qOZCS0a30QCnp
rxUTdF0NnLTQEi/tFckbbXA1ywhNr/GTGk70eDsjqnEpieeFD+B3r3fjeKhgc+L5GPmb/1HPdlr6
uZZuoLDpTEIO/EBzq7oyYHc6MZHl9zKXizb4V3If7b3wxCTxzoq8SZftKtig6ts4K/VJXqqmpy/V
NUm6q7sIMtfJovf8a/Xa3iDrW+rfS4+QhPH2J9fxT4KpDyIyI9X6kZ5IuvSDo2yzYsPrHh7f72/y
nwSM8gdhacF0D8ePLGulEBiXJoRTRoQWERxPhhu7IU25Z7iuytZWqm5Jmpe4ZY7WeMCysnAt6Mib
NoHyRQX1+TUJodmvHvwHARpzIpigPqEEdIZabVZpa+vhfcGJDu6qUnO5ANKzscEaHj/hvg2szoPS
EDoeTeCi++TJ/FpNpX/0pQ7GuR0jqbZW1JTMjo5Cc7y1fMjeJFD6BmapaW9//w5+/YL1j+7UddVM
ja5p5moG1LMesdGMs4WSQVPYJFFB+/T3X/NrZZz+0aaaJnvlZINqrGgoqDCFlHxZ0dn8b96EeIx/
UWmVtdE3OFIaq97KYCwoQAFB5lrlZ0MG/ukhfRCdtVVQZWXg418EJuGikNn6TrzDcPYzv7h/ejwf
ZGYt4k+ojqaxsvVqiQYUbjWy6k8W0z99+IdQ4o/0Vg2K/VUAUcC1654IGQLZ/vfe7IcIoSalBm+X
Z6POmelaLfBoMxePv//wXwvCdedDgDBrJRtQ/bNsQlDbH00eieTMnLBgpWuA9qXsEI2DWbVGufv9
V/7T0/qw/0M7ACxjLtQKwNh41qu62cUKLdfff7oiHvrfw4v+0aXaiifN7KdAX3WxX1nLRq6cwmMO
lpH8MLOczMiv7KCF/Fg26h2Nuzn+pjSz7C9MNdaC61CPy+Cgc1nRgm7kIAU/X+P//D7+r+CtuP95
Cc1//gd//l6UUx0FdHPf//E/D0XGP/8h/s7/+50Pv7J+K3av2Vvz8Zfe/R0+99/fu3htX9/9YZm3
UTvtu7d6enhrurS9fD5XKH7z//eHf7xdPuUwlW9/fnn9kUX5Atyijr63X/79o+2PP7+ApCt0XP7y
fsR3/PsXxE38+eV/5z9es9f8j9f8xx+76Htxeq3/2DYpf2x++Ulvr0375xdH+5dDKueYikYZqdDX
+PLH8Hb5ifov4HLNtHRmk1kGU5G+/JEXVEl/flG0f/F/VIdunK5bMqTjL380RSd+ZP7LMnTddGxL
gYPBbyhf/u9Teffe/us9/pF32T2inbb588vFmOO/Vphlm7JiyVyZwpXJhs2nvQuKDQIfk4ymXtup
9JQqwyY2shPNHOoPy2rcyK6A4bBMdmFmnUpz6UOBMkzlSnVmr/CfYjU7JFnnePAFVBeOhTdFqC96
Yz9j2g4lkhqN3ujGntQl4qxreDrhZ5tExI4Pt2BrjkwXyOKJGR+3v9bj9KckAbeQ+YBAkrO12vCU
mMaew0pzCQoUwlJ0Mqmk8E3qIZ+7iVnFn13H+1hweZRch645Kk+UgkqEp7+cL2qilPaAlwOtJPVR
q8eNNo+9h7+kRhdoW1AnhxV4TOHQn24MUbBSdVV2vUh17d4B7P7L4vz3q/7rq31/DP28HNPWZEU3
ZBPOm7Ct+8vlNHqk1mmWVlxOgB+HYh260NjRj/3ksL6kGR+fv2nDb6Dx5jiq9uG+IUw37TQxs1WP
kpNSfatgMHlpNcDm1c0tAuCFoxpbtac2D33U+pnDrYOueUgqf5SMzEF9vJgLGUWWdq8k5maO3bRR
mSAdGfswp7iuJwMu0nGOV00770xo+cmEKswGTc7TZJn5trTUnWkVOeYLWueGxj8rge4MkCBec01s
DMsoPpM0NlvFfjDyNoaIq/RejUWkJyowFwHcrinQBc9pd4QGolDql+5QUUmqqGrsAtFvHp3aocVy
TY2Wg9FuNdn6GsbxI4Ryk85zbCxkaV7VZX8Uy40xCRBx2nZPIw7l8wGutr1AiYxHY7S3fQMemqzu
g1yyXb3KKQ/Ea1KtrKH6vmnmZ5UhiN4MPun2GUuoSeybGPzOK9WCqYbkd7mEYVqTnJtMcRNrKhZd
eUzn4IAKnI+UkhtpNndGF58dKfPghKyJk6ffr7EPB5RYZIQBGZGLYuqyrtsfch5rpncZRFW5rmpn
XbSrpiRe0F+OWNg8ZHRCblSYO19Vec5hIFi+JeCdVHmh5R9+fzEX/7P3C1E3MJmxYN+ol4j6fsVn
CMrgLGD0Xk+MgPGBlBTkmp5myU+qJoHLDtKmcmrk3BPSMK1p0G1qW7+D0twHEBNb2wyWTSdLXmw0
1x1deW+Y8THS23Tbw9V0w0Z6S8OAboN5KoPyYGBnSLKtJhBChnWQjqeiYuSkZvIO8xGRtu28FBQk
Xt4ZdCV1Y4vss6HI16E5QOr95P7fG1GKl6GbUI9QGMmmY1offSvkztH7idmT6w7Gr2AOIU0jhmep
ddBgv7lBmJSe1jtIz4ermS3kBk21tGpjXZloSywj3gStA1n/MRNyniKTF83MWyzR7gFZbJOrIQmu
upQZwH5mbi+RvtPFSIsbq2HDGQqPo6mdw5Q8kHedBts+dLa1Rfe2s3TrkCS445v+J/FHeV+D/bxt
lXmcdIFgNeofB6u0Kl7DNZ2H9SDV+PfSInGxZ0oWTVmvVAjg6K1LjiJfYgYH+0zSU/WTS/h75Ect
oqt0rkxDkf82XqdTkYqie0zXft9grdAhv3Wi9jOzk/euMz/vk2DjQEngJonp75d3njJuQ6pS7rMd
sBhVi7vpqU/dMA3X/TQOazpMn6woxbh4wX3YUyaFmApsqlD3ffQ8KzIQtxCKBkTa9AzWdjYF22KA
TwJeDHkqoYniF/N32A1rsyGyB7nW8Av43ubOxgGbXlgZi1CKghNuEct09tdOQ8zLA/+Qwd5z5G5H
1QHTlY5WwancWITjALr5KL0iMwwXkNccL0l0xBbhBJfekDBtaI+TUq+K0ICVE/hwIDo2lp0+FlC1
f4Z1LbcPkilNK5xbdkBE53mYD8bEJUZDZy+Qme6n8ba22RdWslZprYdifwzkOUmMziJ1EIsoTG5J
4js5fSkSH8DXLzxIMxziU32kg70bkuqhQGYH9Ybvh+6Qw6A5SHZ0ph+eu1BzzpdTcQrpC0jl0SF3
N+2GoSYzbHB1FjQsRdsHmHEv/ci5H6JulWXGoi0fgnwyF8gsyb+cVOXQyDbynL2oavOEs3sDzwJh
hd/Gp2yOTkas7c2ela84nBC1caYFc8rkcHYL+a6ZrppaeRj8J1/j2ebxg1/GDh6bIUxxJ6eDB+Ez
5i8DWl3eSQCWJo3zCjeHc0/S0Kj6vitgQRj2ldLCX0964EzwFg0uNf0ehnNCoE5PlyvQ5+yGIYTA
XS/tQI2qFQu94fZpLFGSmNtLTJLa5Ea2tH1Y2q+tHa8cGgUe/kBHSck095aD7qjkDQYZtm96yoNp
+MPOr9ttEkVXz+XIs2ZkMmxJbCpdPWw2ic4aaMLyuTI7GrU44XtKnW97iyw1sF66h3zkQdZQ2Rfp
wOOS7cnLhxzWJDIgekClZ2wU2vjcFMvXxMx8m5Wl5o6+QgANDnLYLwZD3teRfdvmETQ5Kz3FjX/g
bD6JN2yl8XnSta1ZGtchKkFxiWnG48x4UkHbPmCc/+aHAcZucr5EWXRTlMZWjxvOHpujxRiNdR+R
AeicCxX6/2LYFmrzY7LMtaOQA7W+s0KEvhGraA6Ss+6jiqPHT5qUPEOc2zGJxvcCTRtQZHHiCkIl
6zhyB7VeidUAKzl3jcqMvDCQFnMjeX0SnhOLu9Si9EaeI+QFBplC+VS1ODdEYjdEArfuVTl1tdIH
2rKvql3gl88SI44A8zVhE8SDRctDT3NKzrP+hqobDNZfQ/o5dZ22vrzRISveMump6eD05s5doYz2
whn5DJgZIUQdY1Mg0/VK2d6KIJPBYiNDcK46m3QwS86plTtrFMb01nWuqAGqNYv0GM3BCmMx1UMW
R8DR/DtVtnZTO38zKu1RqUg4EAMtjFgPvVpKtnQUaZIxZ9Wn/ezaanxqRpa1YAXnLbY8iYgeU5+c
pUA61Na4FuP73MkKztlo7C/vu4UZxMAXy61kKVla47yXk3EhlCFpjcOKNq3GeAq80Q/OhcNn5yHZ
mAh0U8nHhsVNHtJYH8pVmIgUeM5OzCFE+pC/+rNMWgLRGsq1InuGw/8249nx+tjay61xbLAVZ0b1
ycoZyIPQAaavfTBB0v2cmh4/Tc/0rQON58Poa3taYmTgavGcB9odfQiW9Rify+LHLMMAIo3fIUiH
66sHZws/D1cx2sUlpkwDG28SficYqdEd0sPHGdqjz8Y0AsKMRez4uSSn9CQP1q6oA7QK0UmhTUUs
4JzljdUic/DzcdVC8zJqe2PItNKVzFyLCyxh3NCrDfkVPXy4xA2jNm5KJz9Ms/mkFNuDlA5LFBEL
avlmYfTiDIkJEkQvFWokqfn09bKpu4injOQeRnvGWqZl+ahE5RNaXRjwMiEOnhmh7Uc2JeHSlLl1
zLTJwSRpqQx+hPYB2oc82Fep327gaK4vD6Fu0qtUQpGEXOERVqlX0xCgWcO9x6a/0f3mKUjVdpv2
2WIKtdXcDyb8NZ7yPNutO/TKNSYzzspIw8cxGjHoGdETzMCCDq7QqpN4Uek8BjYvjX50hYfQnVgg
rWDDCx2eCMUNlI1Gab+l/lcDkwhPljguElPZF0MReH3rfJNhBLlqGC2nhI5TdptxSI+qscna7EWc
uL1/0OFagHHuZ44ZQkYCtZmLzGRjj0F8YShfcYnB6MZci9XRDfoeLsDOr2KWJduzNr5Lev/UMrvO
tXtuPo9hv4IsN26LIYVnmqyQQ620JMdjujEm9RrIAlEjlgbeWNFtiIc3Wdf2IgJFcjWv0Ba7SZ70
dMtH2ZN8cxEaSrI05/JoCD9CkcOlM2z1ZvQuV2klZ9UgapkJoY4pdwh2WPqqGZ8hUTBCFENxrF4X
VWm2i4x6yItM5i34qXIHjxxN1XY04KEbo7oos/YH1rA35QOs9Psucg42CivXsqwDHld7Eou1itUS
Ebq7xYKJVw5FlkvWGm1f4SypTME5zpujiNU52qVSyFmicgXDZisO4DLGViftbkLY+3nQqPA0B5TL
8d0gNQ9z1B0xrILufow6cxdH5k5kMZd0NeF0UfNgNfocB/VI9XSJu42063z1K2Z3MdxoogHCXrYg
nNu8wzRR2VcRsRc+RUc7x0QisRQpoFlYu9HigxLN2E8Ak36vLkQIE+W0CESWqe4vR5bIy8YWIKL1
t0lXXucj6RcC7rMUD8ggrF0jozPABIlMpaioiuldNjlnLZG6UOoj2sK31v96ObtNHqJRx2cogSdE
4wXdeGuvNFvHGX4w4nz6efZCWFc9VBmHYjKEAsXxMmcAHCISwoijB+13t7IBDREVlednHUtBNw+j
xCrX0/EGInmHobu+DxJYkV1tj65UzncxriKldcygkKeKda3AzmC03l3+s17HGVSZNrXaPvq4Yhlz
AUuqOUaYalDp8JhMUbpg6qS25VclK86dUx2V2aGXv8S2rFlgXJwudD/jevG34MTI6mOqPSamvMv8
7KYdwnMfFC/IEkN6iqC1GJi7meVpCVdNWhd2yrDsB0KQrD8xXYYSaeTC++YWpmfpOjIvFo+uicPH
8hh4cwW5F2AjmpVlpB8uaRdsTsoZSd9nthaQJb/5swqN0up//u1LOnj5utRkQTR5yjms7ZXaX6pj
VS2bodtgvcWKmHhzOuFSxa5lnAk1YalyrNkk27g3uOWyh0GIrondXjsR76NkL2c9h+IlP5yR2fR2
GbgazeaF2AZNXB+jnJMhCfMbifnsbNFdW2bfL8hKFYgznZ3TmpwmWqx/GxTEPBOfB3/JcYtG5nKR
Wg8ssQ6NigfBSFhQNe1SZLXsnrj3aayHRB6jGxvqbM+fmitT5BsqI5c9ekbJQuIXPKRg3zrWiEiL
E+OQ2OERXaXtGpnSLmXTfIs1BhuHXGsrtiWOQDdqGNxFFqnGBFU0DIyThnkiayE5XfYfe/yEbMet
yuRr3psHgdcU6AtUOdvBJlhYIgGeOD+HgNzXLL/aY0JCzNP0TfObqkVQD5r62GjaEvXeN0vnahJl
7wAgeaaEq4Ye/9DGGF2gU78oYEauDXMBH0GEqStGqAaY1GHRoYqDveptCgcs2ZvHVo4wQRuwOI+n
nW5Yq7iqkO2pKLhomd12epss5Fp/pV/3o1eyzOutMFgwNxplWhl81QexBA3aMKMWjotSTR1vnKV9
0g02b+JtVKyS6qilh1m/pZGOlRRjM6RUIRBWHNimavmeFFvyorbbo1FPGSe6XG0kqd/ivw7ZpNJv
nFi1llIbXCeFYnjJftRXWTdxgRhJrHGTiF2EctD+x+jMWIh1B707hH2OBV6ObfTobIOO+SJ6K68g
WxLc8XNxG78jNeqYZzVPZLojj6eIF8CcnReU7aMmM52wYe1Bw6MHbWjBjQxFcD0kyjN0NGg1OiId
EgXKl0LjX5YWLWKUxgSS4FbTZnkTMN5pSPRvzcj6UMIbqy/fiOcjYtilPEjdOpVJEyqmbrMUHnsY
6ssS1rmbK9MzxyjCz4S+M5CRF0XlMavD61rFX09O+wdZdqdYi91LrEO0RaZHqjvXu7LpDtqgrSy0
DS40Aagl4gMQ6Z0SzogK2QTrY5xJlHoydl/zbIMq01QgsGhy1K/RhazpAHhzDTerJOZhXkGpSv2R
ZTYjWnXZK6wyWSACSBbmHBaLPkVdIpLWDgdV5nnterTHXoBPH1IEXXKnNMb0J468es59+nTO/djA
/Zys296Rz22frRu564m52FQj8uaI6Gh4jvqMCXf91hfjXZvL23RWcUUExBTOzEueXrMKCvAKeSLj
Vy192xJoU44JrA5LEiMTWsSlW4d8/dhrRe8mcuOshu6qRFgBUUT3F6GNfDdvsa7ArIwvn/PO7f37
KDT8xWimB7w2DkpzFyl16A0qCk6aZHkBt0hjNote5vehxgfExZUkBTOWH34IX8z8XlrDMg6m75CW
MB2pR09SQpxDJK4oGKVvBf6MKKJSr4vi2yoYr1SsGljKVL5OKfeeqWSbONZhN4E5LLLipVTkx3jG
78OapEPWDtvYwESFKnHI1f1UmXvc/valQYIMo3PZBzjRyJAIh8SbSxPzATta8ISRPJH25E1/rQ7P
GbUkYe5WGuprs3Ne1Jsp4ZDttV2Bqb6idE+XjEhE7gn/ozhT70qTUwMLyxtcCWIwZqyApLvaanC5
KfqnpJNeFQlO7FymL3ErIOMWsLTTnGsuGn0Xo8LS+7iWb2Cbv4XPFGoHVch1SOQYyUghBgwYqM0r
pEwHHp7aL8aLhDRg/VRb26JmTeFmyrD85HlOWG3RuSPbZx+j+/CJ0iHJMFs3SDy258KIKvBGSbqF
yOovWt06Y17x2sjKgxHbLwMGnxDBdWQ96NaTpLsTtlNdEDOsRh+vsrZvd3kjLUscGD1VYrIEdFwW
WDVTZDXqCSHAMdL9A7ZL21HKtI0jslN7IiTnAfVB0W7Kxr91RHPi8mYlIAwcPjBpwjYwgUu3SAsi
Vov4BVUq+4PY32ktm4nDPHD01INb2tC3c62xReSEdAD+k8pDADAWnReByIfJTomab5DuOAHjN3wT
hcpf4Dil1HiR9SJQYVskJEloHS4dBIMe7wJRKFlVdhT/TagMYLC+flPN4JSTBWo96IqC85aH9vmE
gKTD3aunFFJhVLmK/6YgrXHM/oicHsXuZB1qiukk7/ehDZYW9tJbmDeWq8WbmTRRPCm8wvZNMVou
axSmu6mA+AoQAj79s2qvOyU8heq6L8JD2o478rBzDziC68yumtNVi0wYnj8JMLrS0JNQQnKFRues
c3kWABoFCGDzCQ9YFfsacxeMQ7EMgmtZnaiEMSvFq48dprw6XT2LA/8Yk1LbAflqIH2jBLmCbJ3S
zcgV8zDUrPkqqXFLaZJFFi2GFiWVVvjLAnI4OHt/25jZWjy2VjI3OEm1DtdX0DX6menYSI29yrJu
L6d/XmBmRJty3YicDPEj+aOj3ebNS9ipV9m3wNSQS2c3oSKFm7wKlZ8XnE1oIVXzHs/lVa2lWwwR
OKN70keRX7TiGJiYqQR/dG/YLVlYF5wG2Z/pt+6lSkNVUHJ3MFAP0PF2Xcc9MXOLNAyjJ60O6cTT
kpXaiO8uZujj/KiTvsoApgvWXuO1VnytJGDtVvrQNhqHYNZTpieqJsxCan7ZLlZKkr7WTfeA30Cz
mLK2cmWlfPQZjyXzTAHNJS+r+n4VKONKFq2TYQpP1Vjf25EP/K+3ZChS9aCKviYOQkdwwiMKNnCB
6dto1deVSelimRqysJzCJP06dfECjxvIy/6QXCEzM73im8FUhaUp0A04sMBfWAQsTGsZT+2E8rDm
OMFhBO8nQlIUYNNs1UUtNulWnc0fuLxJeOQr2M90zTa3YLPXzT2tsHPQNse67ttlkxs7JOLAwIq2
/LkR8nTfJ82DKGvz3vmBQctVbGvapgQbRF8Oak1JFjBfxyU3+YrCcLyAJZdO2nNUED4HdYy2ZTQ8
q8OYo13W9k4KPKWHG53c1YKMvGDE275rH4LylalggXfpwNmOvdbt5AYbioOuGkK8f6u10bUvIPBA
tMcuISjEJ8TKCdl9fZwKdptSzoKwedPdG336rIp30aG48vCLOTANpllUXU9gk7ZkN54UcAiNUJtW
FslyJLV4V4qcvc97dQlB8yus22WTpG/MJ75xdEQINWY1lsOJUJhIctpoup4iOLYpX8R56dOxDdDI
OPG1Y/MTv962Mi1d5CzLOiI3mv0ocvGEucJMB6gorg54C950Uoc8rzRJemi0U3WE5zlOzmRztENQ
0NMjgSAqth4ImBlqCGQsaTPOx6CcF0HJergkR50oQTAsWoUctW4koAbYSM+6vh5tgkJKXeD447Zv
Vhe8R8rjU4UwzBUbvIocVP5afWd1xhWeQaSZqflgj9HadNh4sc7Q5HhZBROGAJy+F4gsNq/10fgm
Oql9x9XhPr3DhpTJPuiVcy1ZWJK5myPFMxrt1hCd2igbd+KaL0CZFRDbukLtQVlQiMZKcmeua60q
V/GYT25hYvwIQIkrAkBeY+uuFI48U54JxIBkCYbx2A04eYqnZA3VjMEj8roATcUg2QeB9DI6mDq9
0TaNgld8/yR2XV7Ri6bTBs1/beBChyOYdWhzz2+Hq8vpLKtUMk3H2zUzZVEEGF2L2sYZOU1Qo37S
ev1V59GE0mtpNmgJWp33ralOxe4UnlECSZlrDWJAIQHj4k0OINfXYPQqJaGh7yOBdf6+7UmDjU//
2KOCgIDCTuW7ZVM0zv7CdOjj3uqDGL65CANtjIVakV8zp4ECv22PsKBJ1nhW6mjtLq/h0oQ15HID
c4XsU8FYOkImCppjKuwkvHoNJy3Izcx1ikYzC5QtIdhrJQrmC2gNexyUzilPGM17olDFmUhaCgiE
Q+keztaqysYnKc6XMS64QCuveg+O24mURQCv09U45+chKre9WIbok3rY79Uy1eenvu72F4AAgulX
PzTXeRmeL1ixpag/yHqfrQBNXNXhB5J3WzB0tBAZm0QQXqAPHMum9Qq5X9c6rIFKHze2Zv3oQvku
00ca1ahz3S6aaUcl5R4zltKzY3ml0vWyjfw6NDkZOljwACuvvrGegAEWrSa2BfC2W6kKtq1kYo3M
AXSBti187Tz42OyAxEvSeCE58ktn/zBFSAx7WUWycsgbckQ9AG0ZQ9oMPn1IN6oqcnSgZpsBdk2d
fE8UiBa/XxsqBK6/LQ2HBr9qQQyQIVe8XxpIbGlTciVrv2FhVipQcqHJR1PD9q0kkRP4X77QzIHL
JBjH8oOpJjeqgbttMuAxhl5G5K348hGTfVTsTIkGhusU1+eMAfIWMMbvr/kyF+PDcsZaw7RwYtBY
fB/b+JptV0akJt2ai9Pd0dRXeVJJS7WsAegliXdU0amQ4toDFg1Xfpwz86b9ZELDZbjNh6twZM2x
ofUaOPh9nG6ZqprSRYnTre1q7OnqV8SNqbv329G8mvHmGORJWWhz/5jaNroAN4etApPCx4mwf0Jr
fZZL9DJ9kT1VPdC3gmK1qUz58ZOH9Yu97yiqYemQrmSFHtb7F6zlrQyqTZlva4eBYnPZCZcL1DsP
OpfiRDNE2eIwNjVYmWgWxzMmAIafXueTgZXjqA7rPv1kNPYvGvXQoLgsurkXdt/7a8pIcrU2l9p1
UwcL66RVWF0mNPm8ocsOlV7upOzh94/hl99I/mBi4vkLFp/dlqoBibDFSZjxznqJ2kw4k426eq5w
CwS0w263TT+btPcL9iBMBMNhSTqqAhVIfX+nFa642mhn7Tp58MdMJsJxDsqtfUjHOPOs6HRpNLcO
ufnsAxJSOxYzQPpgH/DywVFLwBSijskKO1kUOKkXlbzuR9p7Vn3TSGQCZg6t1paUpZ/t9U9elPIL
6oggZuLdwEKHvvHh3BqKTKrQmnTYzQYvDDZP18o4bGsaBesLwCCVBI3Sbj01sq6x4Gs+mSyl/p05
YhgcmTokIdsRVM/3D7BTSS78HKW/HVk7JMCAUd18MyQLZdL2opsj5/2iYGIGzR+ZprdMj6ay77Dh
TyRjl9nGTtRzGO8Q1NXkx5SpG2RCNzTuhc/QMUN8jlP7Z0yjy+T198HBMCDtGew34oD5cdaXZo/l
FFhBs85wQhSEFwI7rTRJVGp9OLlzzlEpLlZAWHqrXjEhHqeOehKzlylMOdpmMfJMFnYagjkhhcxG
iaTiCLB7HqAjRNqqGfqXLKMYTGsK71qH7gH+nNTROcT3GmpqcbwsIoF1z621FW0a1YnPGn6vhfaY
zeH3sLNXZYkPGnaO9JNpXfk1CYgAclPBAO11mkvSfKVXdsg5Rf5fxeZDFOqPZiISPRhbg51t1Gl8
ZijHsaExj0PLrSBR5j31IyaHoHuOV+XZVrWctSnNByUhDf799r5QKN8/b8EPNlC2mFiKmx9Zuo7S
j0yElMt14INV1F2EtoraULQkB4T4tP3nk8UQh1IO0beSyTMugA5d7uwCi78gnlDv+Ms4wZhxEll0
4IPMXyofhWz/gvz4VYlq1GQFWhknocIwkl4U8ip+XIwKi5Z1lt2oqXU9mT6ZVVE7roTtomijMZDv
SWqchzTlRf3+1j+ofgTryTKoimmdGlCLmI30YYf0LedT3cMwNEUvtyY/kZ/0SmLSBYtArC9wX0w3
7RrfPmAJQQ9IAvIhpzS3UZ2df389fz9vLMOhu62q8Lll6+O82tBE5h+YQbXOLJ7GwKNUWXZK+2ka
cPmkD+/ckhXbseDwIsP/GFuhXfmVmjL3Zy73Nh2IqoAhhRUfdyaAkHFgi9XGUgW/X8ky2Fls2Oeq
b18tBkh6kXgOkkAvNEZ2JzXXidUnhoCGV3R0j4YSqAiMOU7a65DOIA+wxEsyg8solfIj6hW8M9qb
LBwPAvErBEYmGmqwOm4uvTM5t7aC5op8G8c60VxWtLPtx+N/YwFAZYRialiyYZAev18AedtjuzWH
5dqyqJmdIjjBjqcBAqdPBEg8I6kxBNBW0fwYm/hRlHkTkzLcrgrPmH99Ivn4+1lrWYoByVJTNf3v
jPlU7RqrVJRyXeMA6RaTdlME1cFQIQ/k1m2Xgj+i8//kS/W/n1SWhUjcgWurKbL1URGiFUpry3hl
rafBthYpduZOyZjFyxtGCHYylG6nWTQO5QnzVscR8JH+NUd8iinSo99Z3zVbpc3eDYcGFgnRbsR2
oWfzxrlJF21+qhgP2Pl4R9VPeqbkmF+BeRrz/H3uby6AURlAkyKTeLFn47sq2ERqaa7VPnt2mvEb
UDxdi1yY7vWf3PwvWMbcvCE4vZbJKfmRyl4bI7TokRiAOwP5BeCZ/NaSu7oysATE7ra9MTH0DPAO
IQcFPqGpLS96BP6/3/wXAdrHPWmyBGl+yxx/H3c/QkR7KHBtX1/aoZdaUC9ogMi2uugxRN2w/tkz
wSpuits4y3pG+OjLJo0eGLoF4C3IVqLbihnR1w6LErttuU4BbeOdtr90OC9cGC1/YW7P0LVAtCmt
T7ollYOe38B3QQyBAZekjm8T8MUBFwWYzijgD4gxTsx76MPgrW8hulSTtLzQ4SMI4KFJhqUZ7dHq
za1UWocLQp8LIhaOnmra3LVMj/EuB247gNxH7d42HtMUAFKXw+8Yoj1nAUqPSc5+yImF025F8Vhj
jErLQ73PYpAoK35KZJ32ZcPxkuG9RdFEd17vt6XCyRIklebOSnBOQx3zXtSpPmbTfRgy+KfbyG2x
znWMNi6RTdCHnCn4Gs4KxK/kjF8SrKxmrw0HCXGll2BuHo+cN/ikwwoSJw8/vkebjQXZp0os/b3G
8nIMAVzqqGVg+sqIHd5HodLGuKum1F1r9rbBnR97gfhas/pxYQAW1hpAS6bXR9XAKZ1c59KSjyNd
XXZTo7pz3XqccbS2SVKEnw3K6fqhxzxj8X+oO7PduLFs234R65Kb/WuwiV4RoVBnvxCynGbf9/z6
M6g656BKLqRxgftygYSgzLSlCAa599przTkmyTWpx5UwTPwzPWdmAnTdfshOq351SRqYk111nVSL
cYROenmcF0AI5eYZU1iF9Tr6odmcq5MxZiLfL3doEs6nrrSw+cELJD66z34TTTpHo5yRVMlYLlD6
579/NP7DPm2xHXIIwwIiC1n/sk83oaaOHdOlbWHS9uqnkWN1a4XbpApwWNj0yjVxDBs7d9rFVG4T
qkRN0XzNCkz4TeDPh2D39y9p9U99OfxbAq6wii8Fm5Py1ZBjM4636daWWxk6sUv9v4fvRbNCVn1t
RGCih9IZD+1BimogDCgaAr0n0gjMiCdp6ATsCvq3Xr8qy8msax0OFp8yuwKJY5I4fMpgJgkNQo/S
UY5UyONgHe3CRt+F9STXg+/hUtpbyhf0y3SJ5aSBFV8au8Js3pJUcuJSdtbTTxwOb11JlxhRDZFI
G8Owdv0Ifxc0/vlzNgc7QQClTYgqGRi1ljiZx0x+hN/AbjOx4i2NsTYbGTbnzOaaCeHOjKXLMXqG
vlnJQ65YHBrGaN+W6LbquoGXafYb9PiHIoXKZeszN+UQ+6jZnlQVpaDMYMuOSUvDfCjouxL9JMXr
eNiYqA/tmafOwoqSV9pJHrQt4WJ/OJ6p/+kD5ERrKQTSUPsZ6+npXxt7NXOEZIzKbZWixBi4zVfN
CX0sy1UV+qmJFWabYM2hkoNo3NDQMSsnTVikVh4G7z351QgyyNbUhqq/fiqZFkbXTgQHZAMZyfkc
2C2CQhIJiCOvg4eyzpHuZt1r9hzO1JGFoRHcAEL0D3fnf7g5DcpallmZds/XxkUPagHuQ1huJUvb
En+EepzFeSEFYt1ZP0vzDHnR3//S386bJg8ERzaaJRoVtWx+KaYipQXTlNKoleHAAVuIXbBTTDcW
7WecL+hAKCpzy/qRE6SU9tTaNHAQZo/CrVWVcLdVB7j2cevA/C7SGVmauFlm+/b5P+xquqGM3VaT
cmP4/kc37Nca6PPF6yzDrC+rv+eLgdsAzJhIaAe3UJzuZmgc0vqkjy13JMUsOBWiKNfkNu2CLX7/
9xfu6/LPr16XN/xFKgEO4rcKJK30FlUboKfVB7TW/rNE7a8xJHHo9Pzx1PO5Nv1rpWGyU7Cc4knF
VqfYnx/kv9z6xBOUBjCJaO04Bl6maxw8VwjMXA4oJrXGdCcNeQMJbQ6MH1eWR/lEox2HzlR7cUG2
Vw4www8bhMTlPtbHgFQrkkPCmaBHeJfpBtdwxY5TK1t1NpkttrCEWprQaNw+IMgMbm0QDhILRlNC
aW8RsBychIh5DKRIJRblDTBwlEDL8NSZYjsayvc2DaWjsivUhAl/V8L77PMf8dIVfqZji8StuIEY
ZqwinBuZWv26gX8rq3FlQr31yxjtcvVtZt7hDwqvVdbI+zJDrdoNzcL9mHevnWgHCDcLTa4GQyF1
hquFOuIvZDReOw/PUzD6lZ7W3qwjHpnaj9D8Mcv1N5l2szeoMLPDEbVtn15mW3DtcMhZpgqXV2Xk
x4GL7MXEkQ2kyjRGD0YtJczs2rMgwouBVHYLybDxi+iWGwJCJDhnophJa7H6H5O9vEZ58kbHHXEY
S6ctv8nMQ2ggEemHuf4Ez4DRhH1uF6L0FGWfU8ajdoKlUmkN4U6R0TmwVEHYktYZdTG8U1EdOzCs
fWxAdRjkPXBulnKp2CJjqiiz7LdlnRfHVr4FcR+5NK5nd269ro6u3cAxySDmyW+AhLea2WwXsMce
43fESDKHeCoIwvOWCMdhkaKiDdRtElSC8IQJu/nY5kd7uktVADpLuleddglhRMO/80M9Dg4W3Q60
O2CkejDDrlTLs0e2x17kGmEK9I6QdXD5/vAgft0TTGFxDiJ7l24d7kNrPZ79y4NhhzgNQb5avrJ0
oUMQPHTktSlCaXrj3uKU2sqax26IQ0mm8Q/5ysGYSL6iCqXaB5L5E1fOTV1mzTOYBfMuYowuqeZi
g//r0WKbOYq6j10zuST9YMBGJtdGwukQZ9Ea5wl6Ri9+WMh48N8j+jbJ9tXAETsij5DOWAlqNXiD
c7emTzSFv6RgvCdZOkLWmz2ZFw0x2DwMXKCNZje1R66PQa0xak5SdpcuEk9JZzwrMRAvreN/cxp0
5e0Yq+0+o0K39fEx4FTsySX7sBHm57+/wl9bkpgnWeBYXTESskl8DTMOugqbGLQdP2qWbUMzj8P9
n870v32I6+8wTYteioxS7WsENlFbiHwNMunHdjzlvNVNOTBhnZGLbDLdfFQt4y9dNG5lS9/VGaD9
LCHu+/v3+dupkjfKRqhR0dNYYF3/sp2EkmUkBA3BcAmhsQEQRsgHBglP8TIyGTB2YMpuulS/W6oV
uAL72BY3iFsSu+GgsfyTX1v8tr2plDkYCTnHM6iiJf3vdzaUNPILc8KxIWBKfpU/82vBBneSby+I
jzjQJQm/OtSh8wKnpAk8k2uXdyeI3Y+tUlI3FjkdTltG1WYuXp6qxEi2lscgcvL//uIZ//HFMmwV
tEDwln/W3v/yGKbS0piC5EjfwGdKMkb+Osx1uxslguk4kECoThPUhDJlFm7ro1IqBH8UhZvVsr0Z
ozm5YMfg0b1BcNIf5kCH2pNBnlNHA71jH9zrGZgbGSEaiYbzXTUNT0rNxSUG08sbBa0drIK6a/bK
UKONXM2+BGUpKOVHc9lhc1IBboffeoWVHFUN4dY1UbZTv6XbXN96BczV3O5zzqp5FBEiJ1mhGwmZ
TDZ2GoXIgh236KHU5+UqlgJ4O42tnoH/AcgcwfAEq27lZOC8XBaXJi7IeCUR7g93qPXbo8h5UzMM
Q1VVZpdUiV/uiLgztJpKjn6NSHZFJ13mUdI3vY5fCUA6HnXR00yo3rMA+/fn9TFLAkapVc6gES1U
ZEG6Me3mV0v0Jn4MCNFFWL0EZJXgbeRiLbG2UClMz2DEHtPM7ggzY0geWa5JNoVbTS3rf/5LqzgY
TYv4lS/qezPZhSsRxseuW+3EQLSqwAygdkeyjVQPfQkRZzM1rIkqY1lWdx5xGyBdP6y81bfLmT4t
4/Yu9iBkLhtSJ9mUq/Ab7q6B4A6YaLko17FF99iX+7oTi5NXAtSWYdyQQeHXg9kNa/1p7rN2p1bE
37WIn8lT/ugQ3rjWeutNuv1Uj5RO5hJ8I+X8RY+x7scN4cdVUrmLBu6sHaKNSRF+ajQCOyu1fE3z
cZPHZJKMViz9YefSf3tk+DSZ6goWPgaV6tfmUUVSQrzEpLj2RfZAF+WQ9FJDy2Q4xeF4z4mZo38G
Qj/gjJXW3P0xGANHdFyeLg1lEIgA8FLCMzHTZrzDNR0iX1VANp0X1N1IxfX25zBD8s3KMwlSpVea
jl0qy97k3Eda55u82MsxDS1lB4b0wgosubHKHUAsjf4AtBSG7OhzS/6ax/ydHpfMMA9XIbw+bdMb
F5JoJb8TvDQjfkaUfJHKIMDqnlWbIVZRBM+8h79faH4b0Zlrz0UxNaaMLI+/Ff3zFEfod7hqQ4ar
FakscHgm3zMg+Rg3Gg10ZaPIb2T1qS6EoT8pCJTf+vC8AIoVS1/HXQJQ4pcjExKRXMh9x7Ic9o+2
ne4Jq7yoSTzu0i6XvbTJs40IwhaNf6E4lWkG1LfBR5QKUqvN7r1eyhaJ1sRRHzY0dgfsh1K+q4lV
3TCf+AYGHg7tUHMABJKK2W94ZVZzGkPjHCx6S5oqpELjIFXNZajSiq7eujAm3Rv06Cso4HcmEgup
WxM5caI+NQmbVdjEqbPOwjgB/pqMUfc7/OKOGN71GKq9MCsP0TX3kEBGkkzGy1QpVMWVDV45o6zt
9r3KfkxdhXEec47IJnxvrWx4aaiGjNTYK2EUNadquqZdlVyJwHHsbo1cnck2Il8G5DARyl02vjVW
CGjA0B9STYE2MABagAPtlTGcBikezkIjEy5BzmWSdNBZRbuzbHtfzabiGg2eBs3AwpDGw3vWRQqM
ffkSjak4rj1NQArgKKHUoikVx3Z95+iEeAMY2Wl1p4PHgrMx4+BDsNrxvK87tyCLl2eU9EFZPYBb
tv0mNxM6QtNWGVXUg5S7uaRFewWFBakjuacDBHbxeIRuIsnIMvrB9MJo8m2NYNamkL/XWszsr5cb
J5H12dEbjUJeImx+zvlvAwmG3hRQuWVEvpG+An1a8muDNQ63y3myTcR9GERORkOvrA4CjA2g50HF
hepWTMi8uzFl57TEn+aKX0cZ3No8UrSWV3bBWnb8+/7SGgbEeLznvsVU1IEnG/rhjTuZNl5Gaa2V
rqlzHPr7J9r67SytKUwqKHBUkikhVnzZ1YgVmA0mW3DYBFQushheUpv3LezoGMSTK1fA8jITSUce
p41fNC1xPhq7DXbgDIC5l6zeE8mazvm0qBDVUb+VLQ4CyZZu81JHxxB8x6ZsSmiPurLiAbZNSTMt
gS2+6YlXxL0PAGAk0gOBKV6CpS/9UskaPyymmK0Ia3SEOgdLYfGh7Or9TIHlJzJHYoLHeihHLJtq
OV3R2JE+MOkkQa0MkSgxz7aC8/Rzxd5aMvzfNG/ep5k4Z0Vo93FQ3ypV/GpyAL4mutv4Jy3THhWy
ftKn3toSQMyRwDC3BGaQFxjGAEHplHtFbV2xe3Jj09zxAiPdw/R3RuKacABkmMcrouEWqbjKNmnz
0dBzlqXxvx2VcjekRU7iDGsmUevke8j5tdZpm8XSlP+hXlEE98u/NS04tTKg0ixUKCzVXxuuzMzz
Rlqgomlkj9lzQ6nCBJOMU4onctie2nD5a6mN/TIvuQ8gBuFwqxy0dPzDCxGfWIp/fyWqrHNPKzQO
USTaX2p7C49ZLcIVoIY63Itn4oEyu6i8MU2tTbAQ15rSvXCkVWeaWMam6i0eRC32eqQzsFiPCcGC
frOGpK4bkKtQcZY5n6M5FolzbvUpcCaakzST+eRJC3iVB1YfudRgzgXVneivzK3qnA++0s5t3r8b
RZj49CxYkpp2k1gmSUOGvl/0gOAbmb/WjL4Rcl30oiS6ll9Va2zpwmhPsWBhJfjP7+18n6yraGJ0
DLkEttEgf7S7hMjUpPYjNjceDAS2ltzSKbbORASo3tTsZQ4QVvQh6MxQeOV3bS5f+oLCWeDW8iTc
9c6o9m89QttjemNUA62rn3KKh+apXbWvUIMFiVNPZtNxwhgqp0qpqZc+EpsIrg5lFBPJfDQYwqjl
XcrJozIhsufmcJzIQHfMRrrrI41VgOP4OjSFkRnAhgpO0IJHciiYMg8/c5L1YHpk8rFI11S6AHwE
CmXsczklHQ8mHWxMHE5r4fCMN8KzJ7HPlNDaNDG2YnrgDuEIE3FQiFEgLCf8SVzBi1a46cC+UJMc
6NIvo0KSmkShiglh1luaAC8SV645R6HTL1eSe2Y/lOpbHKeSL6vNDiSLiQyFqqvPSeE0yVkmB3Jx
q8ZChsk0CqBsgd+AxPYiQXSewdM202M+5yNcbQMCRqO+DfndTNm7WyVBXs8jTl2lssu07W5u+FtD
oP4kXY62QcwcIQbdtbF+DF5W0QWrDR2JdzctLuoQ2w9WZk9YDQcj7vZdE944v1xYzjexbESQP3G1
G0HjKlF7a2qzc5UwN5wAtSdOkh9dh0K0x+jeGuriSqNEXLgsn8TasYAxeIxyhYR3tF3OMKnoHJQD
HzbS/PXKfy43RGBTvzdd7QzkBrmEQrROPbS/CO/lo4pyklcKodEPiXn0Ro2GPbENmBkyJM8zqbhz
dg3DsPFEbP+CEfQiG9W5C9ltyO5dXGF2BGZzO8m1mP1kxr9YZ5JLQc4Sjk2nN4BS2wZxikFqrjgx
+fLZDKtszjNcbOpmzkBzOBpeHPGCPnev/9fkw3P80QA3/9X9f4A+RNxJTft//oci+Dv3sG3f838l
HP7zL/w33tD4B/0f5t5r2i8to7WG+Cfe0LIhFVI225xfCcDj/Pq/eENh/oNdDB2NZaziN+Z8/4s3
FNo/0E0irzAUNhCAif+XeMMvdDpUfUwkTV2hhW7T61GVL4PbMjJHOSIHdadYUX1NH6duiA+8l9Dn
Ho3PxveQJFmX2pPQ9H4ZiAMiGKvKlSeNmJ1nMiuXB12Sv4UZTqR0kcRxqlTbE4sc77vq0i0if0hK
VkrREGcy6tnLNKqR2/FYFtpMO1lROTg00wGL8pGh6IwvUrcdqRmzYxTW8UkPpgcF+xoH+jVu3sry
rdUuy8FggUDHMNo7c8hGxypAeNOX2C9lp/hBUDQ+lp/lNV80JnqRE+O23Fu6kp0q0BWnz+9MDXw/
+iCLxlqKjVJHGa8uYgNMI/uYxltnjAm4e03aEbTQ8swy6yL3XG/NawSDP1J1oj5Vg2DQoD6CNpyv
S4eDXmtg5wyVzEgNFY7cOXpVv5RlO+1G5YJcNMbMwAKfXed6BmAa0oHI6A9X1fCDTdAj1OIIriZb
gDz0oJg2it48yYruq33R0NuPTpzUN0Qe/ZB7mnNabX4zhblvNeq5IOwrr7KynpMFKS1Sihs2tT8M
Mh225UjOdVe0jpopJT0C6zFQtMJRp6PZJVc6dwMt6vGRNU/eCOnKUBOGiDHC8m/OadWi7x+iXbR6
a0t0hkQLS8denjmKy8M7w8YTgscUmcZwsQdTPusheRnFbTbKUx1STiALofBPpHOSiVcMlwUyDLkm
U3mgtmzl06hPTm8lIXsCZ/I+8tHNFg5pE/CtQOSY3H1r9oCu/uys9FeURNsxaU9S0pdeQFad0ytS
7s98vg8FftKpxLvF+OAjxddq1+Y1iBt8YGnvk0ZA/2QBIQiKTkdgsoCrqW3NzbtqZTJ1zti2AITm
YyJFf6W0SnCtaizK/fCgWVPhjxZ5IAoJLRuxsvPZ5mRnsTgKqazHnk66u65+q+OG48zC4WrlNiK+
vC16/XNqhJ/jUe3m+l0hrlVbUDYQvEsxqqv8mtOgFvtZjs85reyYYGF13nLD/yyKSvPMAN/FVGlP
k7I4htocC63e25r0Cuz9wniOKGkCmyQM6DbJKFFM/y3dh8bMqOiaYYvedJF6zSSGu900cy5FHJXx
E1RZ+hEA5/ZMgw0/JrdyUwWpO6ccH8lIdhjp75nNk7fWfrfD8GEilj7soI8VulR5pJiU5sB4xcoP
XAmnrNPaXX319Ns4pFEU5s9Faf5lGj2hHrCoCoE/AFiEYLuM94MWdKvlZZe2Vs/qYV0DZZWtzSOx
bvZ+QELrkhJL6hbakU2Kt3T1G/O8JKG8s4LhkMPD3pAN1jpGpz4FUU+IR4SeNSH+hANMJh3TSrZd
MrsaH/FT5IQlf1YE5IosxByNjLXurcQYiF9Agp/MsG9YiuPS5qprYe2gEaGBWSE8GrMYwAklbZ7h
bhXbUuo+wFzmuxisiBuVxuy2mjK61bLMuzzOj7IyR46iSvk2iQZYSAgeDI0uk6xQnlVF/pBGZIDi
nCRsjN46TRHyHpgUJfNO1ukm6UV0qJvIL035Sc+r18G070rDqbcYFV9PJcutZ7LbtAkgTR505Eoi
ROD+/ClFmUeaV8pJDhAKNyrqXcO8W5F1pcmJHZwVi17RbdTJ8hyG9JsIvhPz+KBIyjZq03uHrXsj
mwaxZtI7ZV/oFU0GI2YIUfEmP0by4KG5WzuToD4+pGpbhDy6ugosQiGgRrWfhdbQ0JnWcbkSEVtR
LOc6bY+4fnvH7JjdDVOxYKRuUSTUugO6jN50QV2ymERJRwxpcbj/AIRL9xUOgahQgpjNdKbP9TAY
RX2OWbmMU43KyVvk16ZZakfI8UThau2WFt2FvH7KtNqPtGNn6s+2dnCA1NsaqNZCDJQl8MdaaF5I
HGxuWHTV1V0dPNq1Eboo6ZYnGhO8B8IxObqirwikWrkTBTTScZ8n2umifki0Vn3QEHgUwqw/jUCb
qalnZrUFZAERXXImlLLo2rOZmjpGOya2kDWS0wizyl90YwUv4pxPw3m5lSaziFC2sJ32A/EqXXKT
cMhvrUCSDtAd0PunjbWNFoLgCS86mkne72g3dk7Kw3TLJ6hSBGTiC88682iTzrWRRqIaJph3PtZO
9VymeuUOCoctXY1elbA/k0g130RiY3AMUk6+dp7vhrqH9yeKQEI/PmJVGxXjMNCFfzJmUg6J7ZOk
RDyCHms9ovcmN0ySPaOaZF8Pipfq5TcyyEivbAMaYHY6bcmOlXr61jICgY1mUaqznqCO/6XNuWf2
RXnLQma3WAOrcxPBLzNokoK2Yd3N0YxeSomzVjkSC5x22cGse9kj7Vd7t1dMihfFYXrQpXxtgQzz
dpwH49jG8fyoLYwzmSJGcUEEacSXPg7iY5ElZ7mVeqbvVn/HlfgIGLn9rqb0vpNkyo6cSEG2LUCH
O6F1DzX7x6YnWtZkuSxRlJqYvavhMqzM3US/2NWQHEfiFA6yXk1u0AQGILuqcquh7e5Kv0VSE6Ma
yccfGFH9luMHUvG0zTdBHMyHZOVId5pZn23RpUf0iYufd712b2SYW0QeST+jxdcSdtmROcdOYy54
rhoiNFcrqoUoDIUtoUXphvnRdCZpYDqnc444cWBLYhLXfatzafJKtu5bw0nGBdzHkjrAUuqW2Cbo
Q7mbcmk5hK33D8aigwVMp+KjqC4pONofZoWAr5kNZc8TvO/JIz2ZEL3w68vyve34NGWrny9dZr5a
zVhfjPULyZW2i4i+dGE715dkWHQU1kSYS0T2HJk5/8+XVre36AUuVaCLS4g0RSzpTqVaxd4eWreZ
gyBN1Vl+h/BUb0YYH7OVomHGPnSv7X7fyCYITbWMtoGdzhsrmpoXk3AJJJhCe+yXWnE18S3HDvgQ
m3K2N5LU3o0xrda1j+6WufpETWmeE2I9uQJ6/7IsAA06M59e8Uc/c57E2l3n//0FJ0Y3HwuDGGiE
ieLEx246sxT2iIBIRO3WL7keXTl8IiqZF/vYQNM5Jc1ID0C9cDpoMexbO1UegCXOCUqA0cbpPXQS
aVhNvTVKnBlGo6nXul1ZsnPEJclfInrTXs8u99CrhrrV9ZH2S0frRI6VzrcJ5T7GRkLwCjMsb0ia
66I33Z1DXnimwYhoXUPmxmh0j63wxSKE8fb5pdKttfdu3Un0e8r6fnoLG1Za2tH11cw1xM9zhF8e
ECfInDr1Khyjl5QM9iXNo5dqVt5TiER+1+CVXDS8F0pTgofu5+ghq9g9RAczqgF/NYeHKtZmJPcp
XAhLlBujM38USZUc+oLmpJDoC2Ke3jQwuKWKZAt70Gpm2yyvpvmG16DZqtFAcUlwhDdP5mtFZOYJ
Vuewpd1U76YBLcUU2f0hBDDjpBGbbV8pghDHPDyEQzpd7XUilIvCOikZKIqxhhhKAIL6sDDXy4WI
7lBv0eEW4qp2w4VPX39sEu2sSdqlb3TzYpTD7ENH7Y4K8opN0JQBcKjxSNqoF7TDrs/sK7oGWJgD
+uvCsDfl2GIhkdqDNmRX0ADUxRiXU8T4DCCRBwfBMPo0gJBmDPNlGJrsFIW0NfNUlD4KABaAVls+
tIxWYS1Br2audIjHYTmKGT2HRdQ5h/u6v31u1lgH68cpCZVdhvZkO8/VAIDHoA9BFBbOMboyqVyr
p7ZUxT+/5A2m3iSfa0/AmJQd/jTT4vYdWBdJz23NoCOVWt5SPxejb+egnYsl3MqsbPQvv5e22Gl6
BFJxPcWQS4jUn2d8bktpX9bmbey3woBqPWZWuIsFrcDFINRW/wnMilC3/l2bgm+lpKFSzIaFk0lJ
8poMnLPTek/AMakjUq3nGSBKL2vhCLGs9eKyNogs3qhIsW+YgaoHq7TdKs+Qm4bgJz6/+/yCiC9H
IOV1qQ4VdaqjF2LncOG2gzjEdZQ/l92h4tllIR7zcyLi8JWMKN9KuOcjc0bVIZXRc1eO/qB24+3z
36CffRMRqyX9v8QZ4lg5MeNRTp/ftSwMG60MZH8MA/WkWFO0xTqF/P40j6rbTzRs1PCbGXNrINza
UsOtwu8V0ae8GHdwkC8JK8O2be3E7RCU8nm4tZ+j2MG/vNHAtgby6VkCniYb++mheqyf8qfmJbgD
IL/mJzU7GLAR5MfgYl2knJkQAp822c9V6JwS6arfzHN4Uh/0RzbqKoc7/w5SUbp1onBl3Ny1hXZa
+xnGaGYu5lneS91L1OKUe2HylD9kR+1aa1A4YJu5xv7xsS39eN2xn5VBofFkFeXDLBnKbegebam9
TrakPRGtGN0pqDckBM+PqkYfshb1HU0AIa6ynh3DPm7uSmZzFhJiZ6AbJB/BDnCqqsV5tMK/xFiQ
Ud2TzBW11ejkKacNupBPNY9Nd5uftNwpuBDp54UgZlO7dAdwItmL60zP/UW1HfmpvVaPRnXRf1kf
cndI3q37cstmR1M5rV2pwDYe+7AfXBhKbxoe7TtwRpd9lUgsGPHK7C50HLZZchgICN8w6mJwqS57
K3rX3poXNTzPb8ZdxKfW3+rzuZC3PDjj5qEYTnXs6g5kcDf+pv9qpbP1Mf0yxVO+11B2rBI6qpgX
cSkCzzjJ10zxBAAdkEP1cI7qbRJfjPjBrMy9gSxkxHdPY6BzV95ptG8UxXskdNVpQ9eDM1VkGmPT
Od/MyDSMR12X3W+2xU2S0XuBDB043/JYumfwQprW56lW7Qf+aX51xVFc1LP6GD4n/OrckR7iRNrm
59modvtykjfxLbssreKs0RTld/lZ4VUGxrDNMKjHSvDcUbA9Bgl8G1GddaAhTeZH7piYTrm11+xX
kT8lbPIEb3dKvxvL4tUOJWLl+dnAAokWJxDUZRK4MW8GJcTsyJfsqKjfeVcdL/cYnzvx3r0S7MoP
fyl1L3ocgcpvYiSQ6NVtbH27huW7e0G6cRdIxDSn4PSgvYHUUj8InE9eFf3AecU4qY/Nq/Ut/K6+
DulF1l/zlDoWEpBbLLv0FBK+uM2O4hpKu/hZeiyfy+f6nAp/YApWxX6H+W/y/7Lt0ksd0zOu/XSQ
ga1KHk8/WWcc4p/rZ5SOm8Q3xp087gs4FoQu/Ah2UfnAGOU9PgU7QrQ3ffCxLpp8VpTKVniciFsp
3rWPIT1Y9/UCBE/m4/CKsZeJdEWSgb5/0inr+4wsuQlK1Lm4EL5W1cG+DB+J7WXIh4DT9FZ7wejX
2qN+Nk7i2rymz8tr+r26tzdoYCYiRd78+NwbD/NZAzsylXtOIQi6nz8IBZRgRlnFvplDdxgm/i2e
ha8bx6LlPKsn8nuKSRJZeL6phtGdX7P0qKvjJr6LMPKSW34JlWBT3cLmIHM0727m+Dh9nzvHfmke
m01HOZ0cY+Sw/VMBPknzA8q2cNtMbgL1N2NcqAW7CmWGMp45zdxzOdiJXXJjQGZZ5mkn76LD1F8i
z9L2Egntu/lHmNFUSjfdMmzzVvKb5+G5vZMQca2fLJ7P6sW6U0Xqb5HyrX1L42cjGPFZ7IlY9JIc
5WAXXHOj1o5mrj5UVZLtJflg1fMILNaO/bbimmftEmKh2TTVsUUTZZCVJpEYgR7uIWUpglX3FNwb
Vfdf4+VqWFsMEHLgq8WvKkFc+mLeSjwRlfpUz6V6HVPQnVLjNrfguCLOal5oyfoVPinMH9fOlmH+
gL7hKOfhobxOL/lTxY9Y9OHQeVmX7IU0eLRX0tHeBO24VzEOxfCkPSUxNvl+Kn5xuDloyxxv68TW
t6NkPy1t0x/jJJa9KBTRG4XdMe0z6UPNsl9CmeunSlhHBt1kCaKDPSxzaJ+qfhKeQJP5NI1Gt5F1
EtyUkVx3C0vGpp6m8F4zr9jD5uz9hPzSt9lcfCbExHwUpXGpKO1igI1/pXrwLYsH+S2on5CnvuO2
WHwRE7p0CBL4OBJ4jq2FGX85k1/OuVVIh+qxeOxeVBqHctjnLmDEXjY3xkeic0/KYdo441v7JjB0
MADXL3IqvwR9ppIYrNC+rcsfbS8frXLUPqa+f0VapCAYtGwPYnP0YDMJ2SeZdqeDixTQnvp9shjL
HaD3nv2pvps83y261xp7lhiP//wWcnnkakv0givgllmDevQC+YW4iGazHS118hLBf1vkJw7NOasN
3cydpiyXetTOylap1HynbEtcs/uhn7EEwzlBxTvCZl6/pbt0aUa9dIOSz7YrzPHUrF8+v7Ot/I4S
A3Yk9AKrwcVHwPuM3qJX0E8EfqDlNuE58QNwxCmQdgUkf8PVamjGj71qUUnKIXl00NFtOL9OBwhr
Oxii31TdFEAXI3BZHUjRLojzdvIuTbxYzPcoyajn42XcBILcZGPwuZbRRp31aouQGzyVMvVo0ZSI
HU+a92As8ge7I680PCkPSgP8DZWUsUerIQ7dTquSZ2WmdgZezsSw0Y6E4mgHgkeHWdlUYyjfp250
kqb9vrHQC1+QdtuC8PSgeJ2GkjmiyckOoDJNL1Gc26Yuz1Mflueiyh6nXi72poJrpRr1xaftXLl4
fe9ZiyVepBmE2guhnLGP1yfevUIo+ktTTniNqoex7b6rVRm5GXyl+VcLvt1rfeYF8sZU3wSN9Icp
Vpt9LNm/MklPr2VQc+Uac9gFhDkQ+TnvNKtNzoYa5cgnjXplNcqHJid77r+oO7PduJF0W79KY9+z
QTJIBnmAfS4yk8xZUmqWbghJtjnPM5/+fFRPtqp2G31zgA10uy1Xl5WZIoMR/1rrW2akStehkPSE
3LyJ/LZite4YD8z+OR2YJxkrDGbjRpRMgXk4BQ/2y/yevA4PzaW9YRVpXFN94r5ttfymio7FkkYN
aFBEeo6dVZ2nN0VRlTdBNZ4tO/WP8oFB8Tkdp3sJ5cf1ZZFs9O6c1ZBhk2CXUkh/CDU6gQdbZwaf
9R9mX8duExcMTOMwZE/EsAPdMxDatwYuZYZM3V6FiXSAZ04zbqiR8YLJmWIKnyxtIExb3pia8V5z
YF11Wstd36UvQ0UKt6Rh16C/XhbStccKDtiiqhjykdPS68Iztv1w66TgznIz2PvcMAoB2Uimd/aS
AltYSKpM63VSiw/dKXep7JiEhLi5cB0ppn1VcXXSd0ztMxPxtaMAlit6UF5V6im2+iocBPdeafMz
BFIPrn17kpK72m4Cmz122noT7lSlesWatS2D2NnNByIZ+qFnZLWe590Q26uptvRb04HK3RkA27pk
C+GTh6P2w6jaPbHLcofN4nWq6HmWCjY3/MWbTFabUF0ic5Qeru0+YaptsD5ZwS285Oa6818BAtQr
JckcmmRwLi0YXi6X8Vlr1SdcwD7WldZ370GhRjdSYUDnhDzmrIyucmF19SaLCXFY47NOj/beKi9p
chB2N7vlkJWbsdFXtUHvMd7A9SQar2ySN3acSim0XTGM1FZ3Y7QToCLE5OLaid5ajbKP9gOOEc7Q
gJyTGQ7bUan73SDoN+gYybnSLkE9+yHiXfIhwAqMNRrIwDhwbURT4A3C8L0RYR5jwIAx2dJOOjba
bZCjEBpMfxpC6hzgGAEZm97OLcZQA8td0FVHyogbGBh43QGfQ6wuzEvvNOEL/29PmaVEB4N0aznF
fIjQMrwibh5phPtWW+RnGLdoB2YV2oFLn9dZ6xmnGb7hqOvBka1beLDC164L7lJ1xC+8/GmslIwa
0gWRWpkceYfaDVvIFfj17J2fx6+B039wE49rzoP52sn793LsKdrKDDZlWLsHtWJDOHRQO27EfKtl
U3CtTD5ZwN6RG7MeWIPGIHOdjChsI19t6hiOpFVf8srhSRlJmioVhsnswMqh0700Hir8pr2y64MW
r1eePzrzO7ZlxcNhF7qDnp4mToxeG1gF60iEhbt+bOxcIc0TJ8x+OEgbo7UGkHsdE9ZchwWHzKKN
r7JZ38pUVOuMie4ZF/9OIdG57tOR9LDeP88jz9VGKIFrwDeEIsEsJV4SNHC2135V3OZ1dK6M0CED
SsNFy4+eMvLGdUqn9Mq3HpL7etC0pyBPhDvFS+N9pQELSc2zyNpVbzEqRIpmV5yqD9Zy1qSkpNiM
RkAQdNSK6xTf9fVQXubCocI+7TBRsrtYZ+Jbb9yjCQjG8aWOyJRp1/7gp/eNiYWCStd6l3YVn2KN
+dIJkuEol1/8enjpKt/cjSTwdpkCN5McUwr1bDqpjAHxWPNLFnZ4IKZhPyMoHaXWzkffSVFQ5x41
Ii7yE0n357BgSO0780HOwljNOlQ6sFnaJivNztX0dguzK+JVKPN+ltaJTh7nYmtxel+OBmZrZ97S
ANd485hYhzwN78VYbrq4X3iYQBjjeFb3VUH1wnIft/1DHmblHaCYsqRDmUdKvyXXBha4M+LHksFt
2GkcefPEos45jLZNHs9eNQuMRnGhrEpAFK6pOa4inGeannU30Yf7UkHUBfUFUnHGvEfVw6qXj6Tm
qI8oGEEWWJQi3mEQ9zp/mU97CEevO6rpzBF8nxwsmAeUHAZKMSE1MQ9XjVcZadh1m+7EwgkOoatv
CyU+6iZ5Ih9zaiaSecUOjjD7eMktcx0q+imAIJ3FwbouKD7sZpawRKmPtBZaOATAIDGB86JseTMm
tnW7y69qPzgkfigOA6jmtdSACs/ACk9AA/JNj0dPKIl2GCw20G1Y76Ua7dpMIV+nFx9KCp1VGvTt
5NNrS4P1WogErrfi11uJm20DHKYD7mBFELYvVR+Zp3hozq0Nmmq0cfU6P+hi56DLQNuh9GWlFh0J
4rrm8anaPAZFcZtsRqQideZ4oHVVwDif3Q2mAl7lkz+Y8NTkgMGAnfrBh1geibhbcvHSy5cS1kh5
cWroAFQjWF7iFNSm9ONRM63hXKj1IUnkIW1urPk8hmbr5UWAaBTmb0nZTU+5Hk47fwwDljuKTOO+
l4dSH783k0lDRdFe8hcxF+NJWnI8OQNWgN7nUlfTjEu92ep5+Y2VLNtXhBwf9LA6BbLEjOSA88sc
+6bN6ukeyTE8TKIbXH7a5VvINK6vjf5l7Ag/zFXtWUbsuGQfjS3PYmeNJ7i7MsN6WJep7lY8f9HT
ZXecB+SKhoaunU3TiquUUbYFAbxmWRP3Saptu9jObvRBeeBYYnk8JT6U0G5cCi022YDqUVRFu+9z
1ON84qg45SxDkcUJtLbkxp/teS1FHt63Pv9Sgu8OJibybZSZ8mYyonAXRHwpZ9U4BNiPf/rl889S
aPhATpd/ApRh2IGA4USvZTzbVPNbY7bz2dTyaasjpG+VthRPhAfd3tFektx37guNHSyNOvpN3m47
mCOnFs7JKegSicELWBfagHW0kBiOqAfDYQD6/flVG2bfi9SRrhkY5gGMOlhY/VXBIHDAmdgfik7T
2WIUXm/3Xs2NdO8odB9NoqpWFRWbV5+/GFL/ESFW7gAlfsDRrO7w3SHwttMO+wH7fV4oK8/COVPT
9jZDmeUn1lzLQH6MKvBoSDavYsiGvRzTnhAdPFeBKQd0hGyfGO+Hw2RiG6jTK0mXKMszM/q2qvK7
Nu1v0opyq6Rq34LM0TkwcdVMAzFKvZXiCkHoNQlZ/EWQaw9JjvTWZz7Tr5GpxtTMykqUOu6dBDNP
Egn1NW9bT42G4LsixZuOy+4i0uAsqzbbW/CeTwaLvQclwbiWWcc3CaR5SagdsLgMUcPUXZ605kvN
SCURoBTCrmGUoD1qWqDeFpUoabBhhplNKTXgtiXLY4hhUxVTsh+kPx+65ZfP3/3rS73XtF0vSpSX
MbttgTYm9o2dA5ewdfuM0c6/wcjg3ziDSlChqMVe5qDibSqJ9YYZWfAixHKAjrGh2rW4UWZxtdDp
B208lmq0wWIarJlFs/qF+Yz12V8VPiiZoY7TwzjBODeobOEsZZnuUzQp9T4MCRFMc31i36Icslwx
N3mKd6R2tAdrSnuGq2HtjQyuF038wx7dfjQecPxyztVq9oPTU1klKUK841olenY9/kgDleQYLhDy
7cPB6QSGC214yqmAeQTZcgt0kbi0ydGfMAwPAdzAQDW4hf0cf6lFb9xaT2IHZcqJ3NkxsXAxM26R
k3NZ2VcAk8JDMoYPE80uFyMDkBtMaX5Q2k2Q2vG1aBoqiSDwlVVheFRmsBlObJMEhrKz8CwwSlBW
DlKGad4q41OA02cd1f6tqqYJZQBiR3t9R9B9Dva0klxVrV97VZddW9wSTa7r+77MbxFRn2s91PHu
508dT7m+J68/adjSQYeW1jtl8e9EPseNwmFkj02EYrzMNSo/4Y42wHvzB+mo/oCXsZLQahC+ouxG
rXNeVzRt2dLAWgb2v67SwvgIbaCy4oOKNOdG4vnaxxRLbqJiR1tad2vS0HDTdKPrm1N0ByWKERFH
gi1FwSrurwhmRdz//UtM0DAW+MFsQF0Grt5Jcz9ZB7u4ZpkV52kwku0YRQ0VNcpDUBDXpPLXvAna
yrzJ7Ga8rru3tpQ5pyet3tVLnUGOi9cDLAZ4ZKrugiYqr3jCt5vaz9cFO/enJfx6lFaarysl1O8d
obp9jSOoNcf6GgiyeSAakXp4x+dHs/BActN7okbmNY764JZD3b0195syjvFkF217kKW+lDAsCjjw
YWlNGGjbuX3J8mFcRwt+u2Occ1UJZtUdWQs+6YHS6sI5xURHTpDlUKOAqvvqq64IVFvZgpPiPOsV
HfjnUTVMb3bweRnI6GvYDNm+zsP2Op/BzTrzLvWj4CbtGVhawGX1iG4DUC3mnkdEc28HpeblnR0B
xJb3YympI6VSJhwPeRw2J+w7NCvSAOWRfIk4UrKhz1B17ARro5zw1UawJZNonajx2dfz/GgqJA+7
wLpEMnCTfjoWAjYK5udtHjaHmZdlFFR5zTvNme6r2VyCNeJg2MF0SCLVS5pGrikt1kjaxRSIDY9c
AqwuVumZQTZsp3mCpo9bPekpSzEafWJ5xFjcl+Ub1Ur9ZoJthGRSeXEWPcfGte6ktpekDN3GqeGc
pQbNxpT13ucq9JxhOrbkWc7BYigYwxblApe8xuhT0vTa5+2VmhKJ9LEaMaRpX/KRxhs9v87Zuj9I
0tmKaZzSnZSBss8TOeAkp7AEvt5t2wD08f3W2snAJ0GUjUyPZSFOQS2eoaavaDqMbtrRPjSjmjxq
Pi0fGB2LnR+OaxVGl8cDAYP0UzK2lmfgMVoTqOTcprdstbvWGxE5P9ik8kBkK/JgDva46UkGXc92
BVu8wf+U0FMV10G8d0ZbW3zh/EUAE7YYLqlHUvZdp4nDLFBSutBYYvHRzpqZcFvTMeNIhJkipOgB
eLFgWN/eFfrwPSzN0StnPfGsEj7Ns9EYYlc1sj1+/sJ6U3UUaIatHdzWRsHG2xcec6jwri1IK5dm
yeMk17v7KbTXYonTZkC70Jz8/M6cOnaQKif6WW9PeGvq3yQtvySp/+j5/ZL+EGOXq0XRjvvoMYuf
ggGJsGVjgndu2ApoAaQQ4hddS7ypJ/bfwPtV1zhZvllcMZh2yNgA3LX+5hz/GP/Pn1etyyXX9K9M
yt9eFThdOt0XkBl/569pq4qCIpYvBc1kvFK35fLQRiR6bA54Jy4GKuKUfwfSulJFsSrnYlPVt+pl
tN+KbN9prnGrXxlnce3c9dXluSL/w+BgP63jdhnAXPwLYbnb6q3uDv45l/C4HsVz9zg9tvftjfT3
QROs3k3zRCX6Ki9XXtbhbvMGNFhCfyvIeoMXlXgnSQWuWgs1MzzXhXe5UNztbNjOUXfEk/03gB/K
if/wmWi4xzVYGqQ8TU7Iv34meA301nbMbj9f65dxOBL4qItr/kOakerWEtHPZ9tLv4WFFrSPnIzc
KwcxSj+0jWbatyQV4K+x08N/OK3OTbqJEQ0vFfJhh4xo8/ls7EVY5FBnIu/KvRldRdF1UHF7nGlU
pKGOjYBLzPs8Jx4v4pmuyMFkCsvo/NDHD5QeqMCMKe5YTW95nm4IWOcbaZxe4SNhgJVbxz4fVcSZ
U/QYvc3VWTwXb83wFtv7bt456obYYLZiApOoW2VXExuxCT0yfV1VlEtnjz0b0BZv80XpHe9sGZRi
VpfAdzErUTP2KD4a7Fc/lm+vXrf3za39CLanv54ePMSyR4YgJ+OSxPvlB97wA6/vA/K5j92lRkPu
6NHZtWHJLqxU5RmXB8TQNEbGTnZzL3OqMbv83LbxC9T/dXQ9oWXaaJr5ltLJNVYqtE7u/ADl00EB
vTRooSGaaMK+j0qRrYpWOj/krzXaKX6mdXIdXnJ0zx0r+S49hyit/hU7GT5n5V6//SmGcPO3W+fn
hnv9k3v66y2laRL5gGZiSfbg6y3FPjohFyvafTySKJ331jQd7e7Bfk3j19ySzxtW3Gc+lrfpsbkd
rto75s4P1MR4OP23nBdCtDUmULzBi2PsqVGkVuag7fZ8O6gKq+QidjkK3T0xMH04V+h2KfpdBYyn
166IaiclJoh1sIuRQfXHiY5icQoRFDC93pcvc7ueXoV92100tMIQ3+eFz24FTeAiFjXxzkJZzJLj
/FShNbasyAmLxLrV9TdJuGudQiJnMfHiXlNWSxMyKOdiH8ctXhcMJf1DWnhDsReLyHlurav+QX9S
XizjOgMWdCnu4tfpKX6AX8a1rV1XyZ2xVSSMLMvG9e8uecKg4dDg72k8z67rc4Ts2iK/GjwX7wbK
ysMVnCCfO+nJunXulaN6SR7j9jD8kB/ht/SbXR59bOLZHVtOjqLfCL+uuoN1duy3TTtddYfuXbVe
M0SWYW8Ou8gbEI7Lh0A8wAvOFkF5iRmt2vFg3lguHYfIUt9aBGgaWdsY080Gln95zh/yB/82fFD8
ncYSNBKPPNhsj3Z6ulQOpVDuzCeAPsubly/Vk37L29UQ9A7REwnAAlzhtidnnRIKIJV0ybgmzOfc
Yo5p78q9bVOrgY+Hwc4qvR9oBX0exG5YNU+N/haeq2OGSN+xKr8uH8CU4k6/KHc+WTbD1wv6XTos
lEgHbACxt3Wij/dpZbyklZAkPMbkKkB5MvIIB3w51F5qBcHG9Cdr3arGTaT2HSa9OXcdov87RjQ/
FrrrQSmaeJdl1dokg7ULKSwhjJ3L3Rh2b//+JhJLyPfXe4hkjCrJ8ECbpUX9C1CHmV8oqTbigwh0
TLIVImOvPyJpXPsqkUX7NXhr6gL/v8FVOP0IKwPI3UqN5mwjmWiZz/V9ex/3+HgxOfPD1M7Jrh5a
yKC+6qyvGd8jrPvs+Xo9IhUypHCYxprzgaRtRa+oj/elvpdJFd9mNSYJqqGa+7oAcQHVaOP76W/Q
JeLX/PHyHBaqpRJVhSxHDEn9sjuoCVgbCBbNvhU/sFSZ1upcUf0p0Zupitg3mb/Cu6yHzBlJ2o5U
f40H5U7jaeo8F7f1zXRloV5b1UdbRdsQ7mjByjuw8la30C5X5qm5KOjfhYpExEg5/M1D8wt0/e+v
X4OzSPBKCsNYUrg/oVfw1Ot5CnR9H7RypdyJZycvvFn86JmjU2SU7CoUf9LQlpc9Fo8QblbNY8wh
juo+gf17lmv7wIadOoeReCO5HjT6kQDKv7+u/uxl8lgHb25CbTWANP/6MvWs0cqiivK9SXXwLsSo
ZZ0DVGBNiZNdUffmYZOHD8I3xNFwGOoepRmAVoueziYRk2OgJpfCiR8NlVqTT5maM6vhqjV2lioN
/AGXpcmoqIlRo2LT+A1z9gvq9fNTNh1DWLoG9kHlYvz15QcETWNzNtO9ztiMMpyK9P8pSWbqyFlF
2CEhVI/2Wcly+0wsaZ8xKT58fvX55zplkxEuRdge1o+uq1NMvjkXR6Z4s2QPmGSKeVuGTnNFQcUR
62i1VQmk8XDG3272ujx+/q6UsTwaqrLr6B7aY0AyT34zm6fP3yFZaRvONy3n/f7od8nE1tJKPZvK
xWFRlEek5WbRmIujXBRn+CfN68DUpFjUaHXRpVPOS6jUsjaO6aJbk3haur7jh2YnFl3b3PfZG5j2
dqOy/SxLUm7QVRlbs5HivGTjTY7wTDjsqCGPs6tKa54iSREOHu7hfNIH6mDQ2UME93RR3rNFg9cX
NR6/dox4g0LfLVp9s6j2kMegCCPks/Zkm3bR9i9i0fmpNEL07xf1n5AMVgBn8QRM299ctH9YDDWN
MLlKFYDGdQv248tPXTGCFptvtBfpS5VT0aluG5spvt1oP9jr5S1oead/naakuhqUE+nA71jS9B43
sSQOYVz0tErZL0MlY2m/03KDLs1OTa9iMrSeOYDVVoOwuw5Q3+CXX2kxo2dfD/31Emn5zZv5w+aa
vTWbZ5OgJWlL4Xy5A60Knl8QdOFeP0s6qZkvjht2wQp4q1Rz/DO8ZLgherW3ukY9lBYSuEgbbEOC
mvJQpDdR57b5U68bjUvL26V/YEfxLl/+uZP7/5aq5RD2UZQA2oKw/b/b78XVW/a9+V8QvdVUjSfv
clL8n+O3m7dv9dtf3vJvf7l6C97qv+zeempXf87j/utv+VsmV4q/6riiVOCR0rAWctQ/MrlS/6uj
GSARBIctm/EtYLa8qNvwv/9LV//Kak0k1xQm+otOTrYp0Jc//4kqwO2phgp7T1fFfxTJ/fWiXDg+
6ifGm5tM44WoX0587F71Ufip7w6cNE3Et6qA1GqEntawnx6N39zR4gt1ifdPbwDPer4pdTp8+eWO
zpSyKM2G4xRPSYcc2giXJh2fGma24jbUoC6r2F34bw64wkbHG2AhtqcIA3ymIgsMT47w6snwlsSW
iDhdxWcpp/dQPKMT8MDKIBPEG6VhIxCAedB3P/20/+yUsySU/7VBW36CvAMYLTYPU4s09Zc1yS+j
wrGyyidaz649qfY8HtiYG54SX4/KcBffDbr0NAL1s0UagmCjVYN04VhM29VGpdiTwHFs8RI76J3d
kx8wmyFjn9AV4ZtgtbrfLDzAyf74km1d8JwRFj/kP/D9MkbH1EBxhm2QqrZ6bJB1jIITFKFXRe6c
vimvxzBU8UvSVVEz9vZSvJ4jHYE1zouXsWB2PVoYIXBSM0RFTIiT3tjPYf4Kwio620QFECz8ViPS
hPPG1ZRhWBkGFX0S2CjxacjQ6krkw6vu/xggn0M+dvvCwD+GEox92WowbZCqysyV3kESb18p11m1
LS4hvPgNEI2qmDfWsyb5ayZyneZZrRTqs2KGEvnGd3pPedfJJEKJX00gYt5Mi+MIKUu2JQA4yEd8
Dxpz7S/NpoqBWQ0get+vD211ywW3GTqw7vU6xGxaj+9VNWwG6l8ZSZ+jftwC+V7NwkQzJo2MZEFT
KWTEgN5IrUyvEiKExiAOJRFX3dhR5LVl3HlQTMl4x9pnWNC1pr8uR7lnok2U2tjadGunfUGF3sYX
uTvPr6oQR7Wy98uLyiNjq4Ymc1ao7OaETEILeUjo0sCV42PK8BNXH/yVkhJiEtL7LKNrsk060czY
ZS3Ojhpe3tmgvj1beGxklj5fbSF91+db92pwJJpAyPRpuVdSIoS2AcmftwdfbAVzjoQtc0KGPvh5
8fFoWAvizFw3jrOi2dUxZ7fDPWs378iPGwlyR4bKSke2i6f3YebzLE8FDCCLq78j7Sz896DyOZT2
i3DhxrPcOBy9Y4769RLuLblZzYDzb0yM9t0qaJ32HD5iMvCN6Tkm2nx/rVXvzG3t4LqSwT5ncBtF
9nrg7ZlUvcMZcUtD3zTORRkol6bvSInuKA3bKci3JTdkXDJ5Xc+8k55aLMN4d0ww/EZ/tiluz4OP
yuKSwPRvGOhmJIZTHVU3IhDKuwJDus5siVdgXNdl9trMZONT7J5GrjzairRPUeu/ZmWxtcZJOUwV
YDTJGTib8hApt7oMjpZvtcTkkw64fQjCgertimWaQ2N4NqfNftI41Y0dRg0zJA8JwYO1sP+R9WUc
YlSwt2bI5l3JEkbeI1x0SgM8e/QXiTHHx4gbYK0YmvkA83VRIt0iwMEa6rMHWHsnB+OuInj2UDYe
ik+/t/Bool8p9CGaNfSlnrsvcsijN6H/Ok4gfy1fOSeN/DDCHhaan+FhiDJ4xKWVrp1lQpab+Aix
hym6b185qQn8SZTNnrbB4NAr1r0eszTbyURzstXITQxziUSdHR8mk2EAGDcS+r7yMlqjfZFmcsLa
ZD0YeYOpv8ndKuRWdQaapguzfekde++rTXDqyqeQpu+T6MR1P+CuKIU27YKkogpN68+KkTNctsvX
z0X/P9oQ/Y8Mkf+tux3aSxbk6k+Pvz+wRvBBvNVv7c+7m3/+W3/f3Bh/NShDMizNNKhEYqvyj82N
Zf9Vc7D+2JCfVPtzn/LPzY3xV0lLHLN3qX/+O7yIf+1ulhkiuyUiOJrGpuS//kFC+fvDufny9c8j
ya/Pak4OdLOo2rK7gSEnv+w2iMz3VpOO0m3NkEWCtPz05Ez48NhT/xaF/OUhSykO0z/IJM4ClaTm
4NedTWOpVjwEueVOA4ZwphSFV0YzpqqkTdJtkJX9b/ZSn0Tcn3ciy3dEAwGFDlRFsKf69Ts62ZzY
XeJbLl1TTDTLTE3DdUd314AILvJNh+/nKQ6cbEvPuqmt5qATi6FFaNvc6COKt43gqFW00mKHU68U
VkuivWNS/gZh/BXtC9aO/R6393L2URlufTn5xPhJJ5ofJP5gxTlbuooB32ptACehLE5DO5Xpahh4
0EqVE3Ffz+ANFX6ctwH+V4gOY3ugVKf48dOl/Gc7ueXbfv38GFerchE8uBK5Cn+e3EinUkuKEyy3
W6hgtKwAuRr0IvxhDXQCkwtwDiJP+qOaxMND1sYsk4G0d+FoyCd9CrLraVy63ss9RJtLrAXFwXf8
5Oj3nc2KHTnJN8Wop73Q42qXFnrx3gVasiUCWd7++3fCKeVP3gozd0qDBLk2/vfXt4LVc1AxP5hu
2aXhqR6HwAOmhj1VC/3HYsqJOqlpRQ113tW3TDOHb7k1sKVOs5yhIYfku3QITyqnTXR7nOmZRS9K
F7wpJGXXRqztAjW+LmrcDjz5XLioI9hUTWWBltF5rmd2C+F8kxvhZibsGBumdp9QYN7m0U6ZJB0s
DdVHJQduas2rQ6yr67b0F/B72ALws4/oo17XH02g4ZX9lLQUucUVMk0x6XddbR2nPj+wJ7mL58lT
uoytJu2GlekVWA8j5v9DN1xFXXCfR7etDNODWpJ5r/xjSuHwKh/a6zZSnxtNjphb8Oo600cAe446
4wH2Om2H7C86e0Vv22NRdseQYR2Ybw9Y0nvmp9/gyW9QZe/jqjk2JV4bXTuJgm4OvWDrCj2mVBG5
U1U8VMP4zVpqyAayHptKS07z7N+2Ct8zzJjHxtDx3G6yjZWeDsTgus7B5thEbP61TpRH7PzzuY0z
7tOQs9+RNDJZJGhoLQeiAMPHb+iPy3L/9R6QkB8NwXFMo5T1yxpSyqxJTCx8ruaL7Lqg4QOnM+UF
HFa3IhsB4iKy3zmAfkdXWk3SuAzPhh9WldbvY5X1EP575ZujDslOhkbg4nJmB262WYapRZQ3RVg0
u76nrS/Asyi8oMymb043aHdd6RdHJx2VZ00kwUmdp3rbGZmA9zyHpgv90j7aSRd7bWepv7th/uTW
/xyyCx0J2GQB+PV+KW217OVy6zPNmphw1nDgqTI39qAb6xtlAuqGZqmjtqTzRYdTfMpAeQAilkp5
0GbDfkj7pv7B/kV7//f38vKBf1mU7GXB1PlZWFgulkfaT+NkWu4z0LqD6ZKYMNeiLn6E/bSvVChr
wxj8ZmX+k4+B0eoyYlM5HvLk+vWbFWQ3B3tqTRf6tiSQX0t3wn3/myPzn76ln77Ll8UJv1VkNYJy
vERE0XcVUNupIfeFhmNaBYmNfPL+/Wf4lVK8fH5QaZkvsIewBQzZX98XV2hclnoFqpNp8nG0E5DI
ZtPFh3qazUe7MDB2DgPpglDP1GeaBfMbJ4fQ95+/DICujFVsnnwGv/31ZRQKzkty5aarBH648gH7
6maLjmuhm88OMF0YxsEmtZCs9Gx4SGBi/eYVfCH7G9T1sJdi6s/zTVdtufzzn64mfQw0e0pjywVz
hikdf2J3xlkcAgmhhAhu0bRxOniBVtyLS5XAlqQQrPE9wBF5+5u15utmDDK9ybCLx7/G/IQD7a+v
ZYY/VXUWlxjcAarv2izcYLDVN6FWit98q69X3OdUi6c6yyPTJjSPX79VOPs0Y3aK40r0vUObxnKf
USV7Fo3f7fiUnN99zjxj+St/vm8ZC7GisO9jFZUmm81fv+WggxrKtIFyGAgFN01gkKD2x+FZiYqZ
AqPID1wsXDC0imxqV5KAZNC29SaZNN/VoExs2VukrqqPAK+ieti1CWjlBkVi3TvJfCSJgFpEsBC5
iCbXrZ1Nau8mDKhggqTRh16m+VPYZPY615XW1WbNOPiBMz1OfYlaqmiJRqRVZPqmwOZ6RnUIv/EJ
hVetUZffs1YYL75RWR7dk9/bXp0+8FgN7qD7GXwaK9uWCjUGdTEWBpsDDJkOgbRt3EamO6acoyvm
01ezaeQHQ4Qmm0gLuC/7Hl5JbBDe6O3wPgsRaRuR2Ocsk0TetEDbtCXMf0ZKSxZhxnW7ykcDYgeQ
IvlQNGGCtJ4sfRR+3GbBapRxfKA9DNC1sMi2M0oY8QmOjgMVeKR2p0N8Zx03zMdILxJvMCbyF0w1
vaZre5xylfZYxbG49NHELHHBB38YeOgwGAhKVRtVpz8m7bwcX9i6T0pEFBLnzcYpCH/hGI922pya
N21vZ9/oummux6YJOIKqCbIyqYtdmZpMUTm5H5rU1p7zqkzxzTej6Q2tMZGOT/obhbhJvRqDZcLD
bIgAfd2rD1Hb9BfhT91DqQMqzjWZ49cbC9LJSnKllFWwm8dauU1kHV11nOTx1OnqRqsyuQ0YNF75
s9K5yTCqbmfY2pvia/XerKPuvNi6NtjpiLqWk3gdO/pjjUlSDRygLQXT3L3Ufpi7CiWdGGxkwqYq
KT7qrughKrT+DxAx1WNqE5/JSRCSQFGeOmuozjPktjulEP1LLar2Y5wAHJFw0yuCwqYRU6cSwN5Q
IBS7gya/54OvHP2gNj0/GPTV0BK2GrHU4UPmsj2HDD4f6ikdN7bSp27p5xgNqW85DWMDbteprR0s
EHsvGxDYppi0teGE4wsC+XwsOxBFEpSgq2ooXR3HjZO55MrTemC5MZt4m6RM65LRp3EoVlFcFKP0
PV0JAEaMjo0E3iteQr3Ntd+UZPR9hSVSY4bWpmG0jjI8HhQjJ9u8FPP/o+48litn0u36KnoAZUcC
SLihjjc0h56sCYIsFuFtwiTw9HedunGjW62QIqSZpn/UT3eAzM/svTZ6KBWfoDxqeNCun57bMMlf
6Y6rvb+41ja0+mSXhBPSwUG0d7WJ0y2aqmat/n5jG7xa3SbjpVUBihS3ynaEWBETJMJmE4SzfkmI
v8Y/NqeXdImKB+WXxW7ytLmx4/4d6i1qMBxBx9ox8SFCHb6NKlxa+HcMwSzG/u1MjHGnoAXsgdJn
i2Gkv7MFTotVxF/G29Wxp0444RJ81dpFW9WVcESKShX7xpbmzpHGWhdzan/ntYge5iBCB1B0LbRE
TtyZnIjWR/cS17skZziGfjAD6osEqU+wCbXSxp6UNuEdetbxdizLMN10g6PvE8vgOx2Lrnefx0Zo
vl2f2AcAtNVdPITJvrcna51MDoG4Q+7BVaSltcnJEGIrx8H9rh3B+2OlLcpMt79RkQWsq1OfkOLk
R4UD7T4XEryybfkfSSi7A0Fu6StC0Hg/RBxxZOhOI2QbkZ7ZugAzMsGyT7wm+QxZg5/gBPt0DUt0
MsD/9inZmTe2JFsLbaoozovTCryhubzVo4Xw18MD8Rz0wJo9gTzct+tg32ex8+jFeXAGSzGTP1TG
n9IgGWwqk5/Sxm3fjT/AUoaA/3jVXZwF2/VtntjZXpHB8SuoXUyvrNU3adWUT3ppQoKpVHSnraC+
tX1iP6u+it/dvhvvCh7tDzHTtQ8sBejdR7u+AKCabgyxGVsuFBo2i6aui4riNmgntqeW4aAfl804
18y2ZbMvUY5CKqNOoAmaovNoBWIfJolFX9hQGlb1OEJXE0G7nwrcrFnM3NMtHHGTqw7jepinN4s1
lxanPHKdaZD2s590jHArF9+fCeJV2OaQi0t5zaSo6+rkazkyvgZCZ45zVtLLLXFefVQIb/jdi+Wb
DwsfSIxRpNxAum1us3hcgFvIt6oC0EaqKKgKJtsYrDzn1jjYMrZO0VVPYOOsbTsk+Xtepv7P6Izy
ubURZ8wxAXvtFPj7tshq7sI8ky81w8k7+MvxC30C4mfL68g15hWKV74euzvUo9Gr3/nWY+eMy41V
N/5JRFV0a4zR+HRSWWLmTJLnCVTRRSAJ/+MYGf5mbFydbCMYwpZRd7aiQGzAqAGDx9Gw3Ol8Wj5a
48yfDpKAh0BWYkLlKaZbQ7jP0RJm2RWtO0KvssxNMRlWQpkjmjNBMCPaJdX/VExckF8G+kBWSnHN
F3IisNJVfBv3kPMrOQTvtC7RbVQqQKzKnuSZd0muookR6drVCAFAUcf7uQUru6py6pMV7BexyYhy
+cictHodA4NGecbwDWzdRR6wxeXgPk1D75xzrGQwJfNxJ8up3DZz1MGVjIT7oaqr/KW36nec9GDF
ylg9a5mOl6WLCd8se39YJUHJN2XPBGW7EURtFK1Y7g0JeWqzpCY70Y/ZBFBgSOnHeDr2djrr1VSi
5Yr9fth5pBkgAyXZhTnLgPtnZdNj3BDGAmzcnVpuMB2dVEVu7lpXAlKVycvfquxItBVD8oO2b3j1
IxGhmUhEDCBqDEDd9HmCFyuMnB/CCpx6n2uBnY09wDoLXGSZXZM8pSAz102TdqciSxiSJGOIozhR
A+E1rHizkpEK05BgsocL3wshIpOv/NEskge6m6RzKOU0/cnbRX+SdFKtufbqXdU0/iEN2grgH8or
GmTbbGqFLl3piQ/JjcIOF+g8vVpUzFuHnde66lg8IJGK8keyobtfjSRDRtqK36PvpwvpVfl2aNoM
01y9TN9GEvQABsZLfyzN33ApBvvXohqrWlmhwVHtlsM0rnIfFT3QjmY9L6N96Up3XHZeN7ck+xFN
c4Rs1u+yUHIhpqp2yKI0LIKEuYbUW2mp3ivL6V5RzcizU7toaSky0ueaypf1zmjwo1AK//R23vzC
5tJelqhVe6oMMKtm6Oqju0gMJu41WlcKb3i2ASz/kAYB20f0/ObUdo8ZkZifs6p7tmQtKDUbGgYK
mu5PoRoWasnoX4l25Q9tln035LbNuYnBna8S/x6QfP8qY0BRw1S25KwLyz4tRBOtm0yEL/6CkaQR
nXQ41E27ySOWhYXIm0MyTuZlknOabfJMqV2QSg6DaSSob64A21ZJfgAjuNwUfRrfWUvcopdqkNT4
cgneEuqX22Ty9UdTWPJNDSb4HWPhBbQ7Qi7MyREsIEgoAWlmrqBbZkrjwU3S+1HH42uumJoYeEtw
OLS8wLVMLrPs2gdr4abQRHGyEcObQU7CLH+aIKzA72cVuXo8WQ+J8NVUrUZ4lfGms1VLElVXwe0x
gldkjXWl+2gzgn+2jiRHeVW3CxRbqrfsZbBcvK3Ut8dq7pBm+2VJ8Wq1cJf5sMO3yQ74DGWMg55N
j52dg0XatxNjO46TKPB5HZwkuJ28nBVnEpflaVJsJ7eJ1WfTzk1V+VzLHgB/iSLqzXg9vpvalPUm
idP2d1GWcPwLBE5yj73CcjaR5VLHBU6TR1uYKEwgnSTpscw6CSEky4yxf7Qtyks7iNpHRgORgeM0
l5pBgyACYzmFc4rUdIksf2bxmXfTJseGIoAzMZEGrjlega2Oyl9TgCy4cMa6RzHrtVm9FlGCwpQ5
Qcz73FqHvp1aPPcLbAMinkwybYXfWFsMdlG5qaPazy+MFkht8lLXYwURI0D0/PElinR5J8JsfoYO
0F+aoh22YP+9FRSLkCCfHlRuRecVs2yuzA3sP8Kp+aRuoqlqZgxA/gKpAmjZDQSz5c2ulP5J8DTf
9uOQGo4ky71N6FMlvXw83AAgLzrEB1pVKKrLoCNjM56Bjc6GihBnxml0R3nT+VHpH7hJWQy2Ud3c
ky6c3I+h034EUlPJ+1MbfGVEYJcrm7PprfaIFNj6SRUc+3qMn8jnM/dLQoeozUIyEsdT+KIBe9Ph
pPFLPPDEMcZKt9JLa3w92VIANZ/dTxCvENBsUionuN9yTDGpKcT30qo//HYJVkL1Zo8J4Ar7CMME
ztoY/jGD6Xc5PexpCPr4kkO4q/CjF7gj7M4UB0DAXPsllOxu1tgFBz6omyHROIhqDxV+FjkvdZv1
lL9caz8QzT79ydKnTLXul2eTyaQD+FTTRMgBYXL5YU5T/yJzRllcOlKHaMCvSfIjlnGKIsdCgdwt
Y7kdQlIYlBkX2Ll++yUjZ/qU5H8dihbGOpIpg9OAHXWpu/hkz0TpoctxdoWMCHRoMn4qPbc3AayD
GzvzxB/c9mm8QhlpDik+2Z2PIxg7N06dFfQb+bsvmvpErDmAW7cuv5i0I9dQCxTcIUpr8VVkKYe8
YqkRPsophei48Cd2VkiWJGcAy9hVqEI67RbkaWjXrL+TqHwLQoJ/cmcadrOCv0DodEVDBf3iMRhQ
ugGep2cCOB6TTUz+JSJx0WskEO2I0AR33o+vkBrbg1VckN467wF12El3UNQCK+U1KkS2Dab5XsX1
9xi6BEmAB5Az4FdnqsF8yAhIt9R+e4oJIoHrDAIIIQt1RKQ2cdyHYHvcdqOE5p9VwVXaD8qIBrLb
cpVhdGjKES50Bm+4qLBVTVzdPO9D7txVTVb+lB1cqKjX3Ypn3n7uDVF+0wAp3nOwdzt+1F8DgAhe
LeIWWXtJ3DFDe8fZpNz5VNRji1yv8EFr2nEJQ5KPfT03rXgmJ9IbCI4KkPCnQh+6wCH9MMztbS8s
cQ9SotlpDt1Vh1/hrTaBC9fdZSu0jd0qeBo9H4mgImauyeYM3k1AUuxk5XycbAs2RhoGJr649gul
fmFv4dE1pu37aHnZWRvpn2MeNvwEMxuNIbgu9kN8oYjmLSHq1RhILIW+Y+DYDcz4moLEG1nY893k
RIQh9bJ5QqW4PAoR+68sTIlL66JlAEgcFApVuqzxZvPLohuyrO/FdonjST3rrcOYe1940ry4ou1/
ZTXcBaGzZlgDWIM7Bc6S3yb1Jc03jK5kE7IvWJdR2b9MM/3WTsSZFe1xU84H1n58BgA+m3LXASG9
G/BQnYskimAc0dlOq8HA0FwRvioeUtDMd5hBolOR5ssTjL74Yvmtf7I6fjrKFDsCBsz783Jdsaxg
AQA8RdCOFLbP1IVUWIiSVT7LmxhH+2ND7Qd73AlO9cxeDCJbdc0/EO09Kt8Lylz1XGKZ56F3wkFj
rHfsr2ry7D+RWOInbynLve5RfLEY+SJrbTlPFfzNkeXNjZxDYOKuby5NXzb7EIH9Lkv6HyEsjM7M
xOczGJBubSdIp6Rdg1aXTXLRZY0ZpXCy8bEqZ/Vndu1lG6fueFRNyB0VDH3Hs+sF/d0SOeqAsCy5
Hea5f/XSMHsoprp56+yZdmly8useoQ5APA/OLJE/RdEeU5J7BFp2nUfr/JafF/h6FMuHTEBHVCgs
7vuymPajz86LXhQ5fpKFBi+X65EPYKHPky57NODKH8Qmqh8ej4COPYM4RLOOGX2e0+nJRUS/koap
7W4KKgDqtKs6xhVbNceoDfRuGgQaodZN0XMkOXkFM9AF9i6/XEs4KAAThn/gVsZNkbpfNdfNU8kQ
+YshQRqN6w5bTvwJimv0XwrSpG+DhU1KvV4WGF/Y1lJKC1zoAXw/WBgEUGKHQK2+9H8Gvy0a9G4h
K8nfcQ5l6sO3GZveBVHa+FsqI31CVIy6PRARbndXclKpuETbZlrVfWMMVx8T263bJjJ41X02i50K
B3AOIW3R2BtC3JQK7GGDPTWxdmPmOR+ill676+BqrQd2LpuGzpIUKMX5qoRrVkvQJ/AXsB77s67e
3XiKvzplD1QcdctHbwSY15xw5xWD8ITnSNan0m1h4WgbB99QV3oXtoQ9aTVquQ1aKD4PJLC5jIjH
BaCoAh0c1MniMDF1meMQ5gFhKXXaS9/DjIqqujwXkR+9VsPMipXRQ1VzfdXTxgWkesHL3v9KyUsq
1503m/NsNdh8CB5RO5sQ+/chE3LvtESPRaZvglU76OQRO3z93qKG2qmJwUnKYHrNWfQns8FMhRxP
TAoIBpn1FS/ukjiM/7nlqknsF5O5zrS1My2/wBhgqyjmmN+d+cOurK875pZU81XoifxcDzgpyZ2j
bdhV16OyBLN278yJ/p1a5XSm84zu0jGu2rUhGhUoWpn5CzYRQ6iJgRLkrXTrA2nwhkk8zmxIWR+N
FAfoHq3+BCSn/AUBY3nN2pSBiW2y31E9lSUUv0hsJHyeU+Rxt3IYxvfp6BAp4k1DgaoyaAgv6GsD
qRWl93cW8wRvSgAyVBN9kO8WopbMTpUUue3M9Ukp4d/49MsvtvF0R7qDveDutZyGHwDlPoEJ+UMY
h9cP0YW+tXFBAWQrhTr/MY8UZjYSHNONnfDYB7kE7FPVA4L/OcveJx+9ZDE0xTOCM9goRNo80kbR
eI7diGq1jMihGaswlvvWVxUxjRaS3FkAp2IVza0OHTcjhhaIzpXBVo+rBd5ruuppQjdDNJH3Rdud
fro5cgTgDYF6JwVXzCtu0orU4VxH93VuePGC0pzjqg/XE7E5jywZFtiAab1NFjPul9LY94N1VUz2
sFyka1sXFP3dqyw8Zxuwp9jkkHd2lnR4/JJoXoc580teftJmSg+Dbo/tMWQkQJslw21Zk56Fv8m+
zV3QYWgmad3zNrLeSkIyYKC0/o5BOaa8puTQGitxS72NzE/a4ybvyT5YjWmX76erzWbbxwTXbbo0
cZ+WvsXTJoW+Gfs0wFffwBxk7rsfPA8Vv+pdCq/aPpneAuvTJKm970QxP2eIbId1LR0/25NXBnps
lhmSR9JohuLOXOe47SDUozsGtINdD7+dWXMsV/XY2DeAtSglyLsJPgsZsmYcpCqgXbP6O+D3yeUV
nSLm23BhGbFvKLGHfUQWDrdwDLlf5Za+OH+r5qkMkqOVUar7rdQzegbmg/gritmsBbF+F8ss4U01
WtFBUfL8mea+fqxtXzwWU9OJtdVb7vvQ+c6lzF3vSTW+/OidSbyp0c/guBEgLhcPXxrOkrNX1RRO
ZVpjr53GZD/Do3oUvtu9pVPd7dQVNb4CHxIcYynKQ+8N1lOIR2PTRDLfht4yP7XV6NLwFs3GXkZA
EU4IARLqFnQ2VMURFSLgYCJPT31uxedYgYfA3wzHKoswWKq8OAypGs+iD3u9CjsOA5FqsRVVON6Z
0Z7RN+dkksSx9yoJjjz0Wob3cbd8d2zg3JUSdnefKDHplWmHq5glXvzd3Pm8XqCS3jxCjT+qRVg/
IPmfFi2nx8rXFP+Zsct5A/91bFYVobmPkz/apDVD077EIzgxlBPeYjH/kjApZ4vyY1lS961D7fYl
J4cH0BBYec9FjDTFJeBhFVCXniWRRZsK79VBegytiYxI3X2OPO5thNSyt31tYK8DR61x/1v1Rk8A
Zodk7mCEEDq7coZ2RNnM1z/OQ+wDDruGUGd6fqQaHd7z2tMXN/YovqyExuaagQ6XwcmVzfhYAzKO
k/JSVvG0l23bfI1jpHfthNSnK8d0x6K9OU16IcERA86OsBmaUjO2Y05nNtEZMIg8554nLgPvMFiI
eNE7gfr1tU5r1C9kJE5rXuB500Ea2sR5NDw4VmzjVrM4vMpY77TUw9ELY++rD/MJ63pyHUBlKdcH
7XLlsILK0vOc6nk/j/28Z9Bd7hCuofoYZXJfdX7BSXc9LIoOcD66x+BT4BPbamtQH2YqDfB7IGWq
C9HruKnlP7j40n5aZwjf/DBM/zSTFAMsuhn+BGf9XrVhsZ8tz7/2TOqgA5AeyurtmzHMxLNbxsFe
jIikOJWz5mmJevFQWaV+c6uF3VJuE7xBzNv2v8NVChhVQO4OhzD9FTqVfUeJSs3sL7CRjOf9Pwhe
n2uGL+W/23b+f1W7Xl05lnd1a/zvvT3/oxuqz9/JZ/HfLt3n9x+d/Kvw9Z9f4D+Vr6H/D+TUSGcw
4SBzZfH/X8rX0PrHVe0BRg4pK5AF1Af/5eoJ/4FS9uoCU0gTXA7NfwpfvX94iji2AL0I/4Bm9/9G
+Or8VTD9U48QqACTCvIh5ypHxePzN5L1X5QfZQGS2KF7P1qR8vGhIv87YCA2LE+BxexCnL8EhRhe
LnqjyZwAFgU4AiicbgZ+YbIrhyiiSrOwKM5+dxkixHG8yQ2nT2HZe53LMlmFqZsv1GthF6914RP7
Pg3NVXsXOT4+Y7iF7/ngtKR8Jc5knzgTDaQMe+iXbdR3tKZOn+qU9cLC4jx2MhDxuujnrRUOcl8n
eXZrgaC6rYIoeqqdmgH1dUJwx3HbXmYD6241Jl52SXjFXvok6iPEdKX4JgMUr2Qy9UdA6UAaTD+J
NbEpHj9lUoaE78CcyNNhgIUQx/qjrT15SdmbUx8Z070wGWNG72chk1I9ld8C6GWFpi+L7k0pnA9Q
islnSa7phhlQtS3pkTyGOi7RtNp3GQ/UJgQJQmJEtGP2ZH7SqKODDjQxthsWoCOY9ljND6bW4i0s
fPVKvNp43+o00RtEFxKdXOKw4Ikp1nM34KJo6v5JdYLjhTanozIlKpx187iboZV9MPRMn0Wi7deF
nPjXlqIJFF7PVbZikTo+l35qHaY48S9+YmUvU5i35BZ4ZXWmIk0+yFOA4FX2XgRdkdQ5SMtttY7J
OHlsCoHRNA/jsws05JgYO7i4BgPLqmxHX3EVFZ27btnipCsnKOVPksp62YJ05TpWBJo8VknEZnno
++W9jnNavIZZSL2qOrqtHFQSNMIi2mhTUgUFGWjSK/LLfussU9wg7UE0UjZe+tHhvCGGTGVxunEq
kqzpsdKFClaK2dlYU4ynslrsCLGpjJbrkBq9qLN0eARIIAQ8mrLjIjFWm+a0eNh575y0pKpI5kZS
ixSD6o6TaqREe1A4cDwCMCykcJuIjB5BhwazrO/SY6u1K+8hbk4IBZjN6XCXFZToz2KYs6c5LRBK
cI1TTNhQHIw338MM8reNFZWf14L22Di50V+lz5z2Hj1xPF5TKZ21GnQFNJvJPQ4z5wcNFWAqFouI
ZAmFq69RegLAJms7omaigQKtihgs6BTgjADot/JIrt+1bnbdnLrGJZA38wCoVt386KVVRyiiCakV
bC/rkCzEwZ+89NXeJ5HqMecD34Jzzbc8gcNxpPA6osLE9F86jTjmgw/nikSwsygbVrRFmgLnooh1
4thZL80Q3gaKpWo1lu1NF/N0L0Qk/e4jkCSBqsq3tHerO2LSMjaDoaaS1fF9HURIgoMgftZKVp9J
1PmbxjLt5wSX/D3pinsEDpG/KjIxndwycQ4MoEJyFGNvy4FcrZPCR086R8NuaqevTleaixEnCMBR
2YJAiZdNOerxW7rsSBgClPf8QOS4jyqNsQPpaVtnJGCRpcyD6kjnvk1FdHYKJ9iTd4bbaVik2MQz
xMLUd7qfGEjb9zAE0U83LhpCCFsxyougKd5HMYRnsiXKI01980U0b7uDGhzf225ZvU0gLKnOHKKs
3Xz8ofqeOJUN4FvHVA8sAvQmnjp7i0U52lezy34GPUJ4ii1THanbkaEy4qDc13V5UGQB3SpsLpuZ
rSn+NicXL3xDqrLSt+48N+63urWRnCA8/N3SBxxZBrcnFFkOkdRTCNtbYfF0HNQ+i0+31xFTYgdJ
9j2y29xJUjN7Dg0yQaOZRq4YZXBQfu3+3Vy9tIW0HhqRVqySo3biEPbTUxsxT5BC4eGxasIdJlxH
bVBUT0XgQnb+lyv58p9X2L96OqAq/E9Su//lanP+zWkhWV3mDlqNoz/E4N9Bx4anwKnju0jXDPwi
UmdRjZTj5OzoS81LmDiIeIoCCT9h2RHpxcrpgcybqkWkQ1EIhxgdVX9ylzCDXlTmxUPP4sLeO76X
+4xI5/mosjzd5QsBQpYS/fdUkDoKmTsm6FJg+x8Vjkf+LPEvItanlZsRS7pKRVM+eMKeX4M4X/a6
MTVT1inaq9QF91IWXX120fhccAizLy0zj+BEH52SDzFy7U0pJlNSzbe1nY27xHWY5Tfj4GyduVDY
1OP0ONF+/G4kmKqltLurMgcIxbKItt2NbkvwaqvjKjhUyUg3u/ZwVlmkMzn5/cA5FRM1UuKj66LG
q74b9r8+Vr8e8Qmi/C4RjNQLAvdo8RmoHBGMdEAajSxZcWFwPOaWUCThJdEIEzUlapEFaKM8MElp
BXd3aluS3Du0aSvUIHITtCb/zaAGu0SPoMdB+IHqnPriS1E47KTtFNs+G6OtT4FfrAdr7GkQ+ZPg
f7POUlTDQwlH7Ky8Vn4Bjkz3TrgwrRzVvA9V6T9PXtScwTi3e80KcAVpu8WZ6iIInIHj2YH0voUW
3mGZk+Yo0EVvZzabZ7VwiZhRJ6sJq2AkzAQT0Y/geVnkmtTWT3m9jXw+krMwxrnt/l5U1gj0N7ve
XuX1HmvI8xr2XMpAGOvaApc12Z372Py9BbmhifAOF9v6uaodUnYkVy8qmxLuT5Tzcb42I5XBunat
6BZNCjCHLmQw8n9+cRCh/tuL89d4LRHcYVy+uqv+TRZb111L4IeEw2XrsWeZCuQTjVg932vkpS9s
utS20XV69efWV7NCjIaxG6vnignClo7N+rYA3RJtpmCOb6LGAm+R9+5yoK+O5KqziO7Abcttsprk
5DfrhCUwiV9DWspVFVjJ0WUBOd0bVfAs1fkyvWoOsMcQxRMeoGbK6vjm6pq6ZamaX+BJTquJU7gD
Z+o4/dpij252VkMNhldXcsf5DQDadRXq6JbwYrJqWL8fEW42m7oR3yyL0x0jPt4JZzQHF50DC+Bx
WjGLhRbNK0AmKtA3YLQx8VgSwsZgsXnhwSArZuRFriwvR4mxQJgBlzQfsDoL+HojQrJiLwnHhLgU
LwxpY23HBysOC0VI7yLY8NjqWMTs0teiED4e1AU1VGJH53LWziWbdXrqea8QJQFNc7p8lyIPYxfV
sk8bhlEfelG4N2nZNZeADcVLBUx/M14Frm3sw5ImpXIdy7nfYqeaL8HU2Gte5msZ3JQOdg6++5JS
jzMB0CgYi/HXdcxzg67TIxA7iu3HQRXBc8krdhDsHm9Tlfab2ZqBf6SA5E9tF0Q3Opu9C/NI7zL6
jvic7NZ7TYq6upsm9KYpbNaHOmm7HzqNAQhIkacnmyXCt/JYIWdUBJBGv4mZb97pZGsswyQ7IPhQ
o3vXLM1ob/zC0hxNPUKl5cmf43S8m69H2WTZabMimLL81bgsHMnhCXHjYsuJk42TNnDnkwXd0omN
wAKzPF4+eVlTf8vC2ol2rlGYWmaTxsVe/z3Lveuxrv6e8M3fw14QF7vSiDseSfXjIuAB41II/14Q
+d/LIvh7cbArQvnx9zppEFrxsnYLZlsdzfEdMKrw5P29hnIVRA9V0y3vKCnUH/7MwyHJdE/ouIPT
3UGKg7A5wwlUl7Z7GeYpao8mSDHWTDDWXz2Y+rfo4NTdVQr7COU8fB+0Yz17Tk104UBezSIY4UI9
RejmTiSJtWUwny2O+3XAIBrpvirkyQum8cyhSDa4h+CeSDFbr8EvMaCpnataeZ5QlxdefWYUDr0g
USwuczZJLABa8zAqK9qx/BASOIG2MWS7GWMkxAK/OmfurjaGoSUPqgrKT9EMw7maGbKuiqTBJmyX
I7vnkiJYkvUXDqRiI+m8mvDT7BEpdfjZ6NY8W8pUYFYdh4MXeXQOycWCnT9hNttkyYzwl4VkvHJB
dTykqUummOPOIxlGyiNu2IM8qw7K9PMvGXTibsLshfcY/Sc9ieyTR6Gy9lYNPoM0z8m+M7sZ0rXs
dfBGaHTHNK1JgvDZ92RyY8Ozj8hm4yuvkP10ELN8aX8EXVc+NUZ2L7IjdXDXjAq3Aqu5ai+anF8O
J3QBAzCoPuQ8mgK1R1uirgqvyU3aGeSyNcQvf81ZbUfruvfDX4Vbu7+L3NcsBPvGrc6z4fUkacG/
rtmXJPjwHT1wFHSCqJcmGUig6C19gNsrYOQR9Nl7VfBFI9M/BaPbFFv0JYatCRIt0OfXVjkNJe9u
HiYx0XXo0efdUKLGPRoXa3s6apbqLFSXDXSp8MMshfiBMgwFqUg9OXJgz+wiKH/H23apho8lcZyv
WCA42qmM/+NU6Sl9JHApDnd5ggU/12GjsLXFIMRYmvUe4znIS5EY2VX7ZRqgEp2sbC0qQ3wKNvJH
q7OS+zAPZsB2QhuuGdZvZ91l4X1GcsFjl9jVnVo6cpDnriGmBa6KsyWWhrlCVaAj3pZBP5CVEIX4
lhm9YlGjD9tkrsv3MRa3Fgd2Ru4Jj2eyaoWjyQB0hrLYFgTJGsyHeW9TD6DFXJcSHIBKS8Lg5FJ2
1TYzqVKrtpq9mSjoxhyoPspqY+dD9FxFffULHKBLBHfSFsu+9YgKBl/Bf1mlbMfLjS0c5yPwmuWj
MbZ+H1pH/6DyB5omer9o1wud66tlJDrTrGgzoBWDcMWNHvCprInqYN49dVllWLmINLpdhsh2MOeI
a95XF0x3VZh097nF8m81sbqKVgq1DHIZVjYUSijW7toiupanhlia2JuacL8MIEeYRs/Q467hWQQR
AyygEXQmdR7nqjsOrazvpAVccQr9mdzHTk3k/KiG+z7Rnb5qd4W5EJGQ7C1T6lffifvvmKHAvMrR
VYPiGrDYrGdewk9acEQKrMv9NQOkdsMvYl8FJpN/XuJsfkVQVlgrbxGw8dk2I1J3mmTSdGnX3OOW
N2heo/N1NgAVWtjhQ/+sXOiY7A4YlKwkzPF475Che9bzUGwDoQzKL0SYsepS0JBLwRfDhkwqQj/z
dLF85TRqUsl8gEPSOdc+IycgDsuEhpPUkXHLzrhO92xxZ8iSfs28NfQaIvoQem25ZKZNJ4srJZFM
7N/YXJ2zDlijsUw1i1nB0K77NcqOhVwE9EfrKVFyWI/4Zds1sRsKq+DMUnUTqXr+1YQUEXLIyhfT
hu0fN58CeqawenPdPHm1VGt9OrZfoDEU1rG2VL9H18e2YtCwuKl+fwIAbtUG4gLLriKCMrwOqNi/
Rp7vExArfUYAomrefN/9rfxYDysvbNxnHz/1aUFremQKlrWr0RDtW0wQKnhb2/sqrIGj12ORXSi5
ifypl8ZeIdjpHskl435uKPnWsdbDzk0a73vkk/1aoHXRvUpwMEWuzHM5mIGuPul+dYXHSc8xm3O1
gnmIqhAEpEexzPZqRMnaTgtKEr+6r3GKgfwcr6uuEKjVyrOK4kWgqnhkN+rfNf/B3ZksN66kWfpd
eo9rmIdFb0iC4KxZitAGForB4Zjhjvnp++PNLMusautFmfWqFinLm5FXIZGED+c/5zuYMg/83B29
M6YTfWbAUw++28oiGaWraGEgXatwlfwm9sQ9jCirQ8ORj/dhUaH95ioV0cThyZ+USWNeKMrogZNK
89XP98KGclmJnoD6kgeX1Npl8GFhc+MuP0nF1desHkEmRqU+RE1YD0SA6ugf5/H/FlTif5bG7nCr
+Lc7yf+Fk6Dz5Yf6d039H//CP/T0MPwLkcVD+YYc+09exPRb9//7f4UOLCyydb5vOx7BjDtj4j8E
9eAvj1wjcc87PDIK7lee/yBJuH/dM7QhMrjJSQFzyX9HULe94L+GZfl7QseC4nXPcvI9+VX/PUvZ
jX6p66hyklk/hes07cngkaFksIhDFnxQ1wwXfCT490MDW7ckuUdVUrPUuDmn4NFOveJkSp92ooXe
awmgYa0nvS0sgLGuXTU3v+BIP4ZkYAwKbE+NoiG5u8OWJuwVVdfOZ85XcVYK61q+gbhz+uBAMIxH
us0OuDFg1Vh2eS5LWFQQtI4N7joyTNNutpf1tvQowH7+G7XTe2sr+5dNm02PY/nZ9NffxNX8czs1
wXlp2WZNOR/LITqw6fBlXr4KTxDln4FXTljJ5ASLr5kpkrOi4iECQuOb8Cz7wrwNBoRmaKQeU2Us
8Wn3EdmDd+XIvVnR/7AezXEUJrwqS8J9C80iPdeRgkieAuynsOIy4ID+wH/0NK43KxuwO7uISijo
Viym6mFgcrtNFTjqwp8JsJH5O4xw8CNMRlBDpc2Yw9upMkpqU0OS1niDBj115ygoQV7JS7jIcdd1
pkREt4s4bbEiYSLOExzTgP2zjgvrVHsb313FoejYL/FtiFOT0UI3Lzj60R2zSxu0/dZja91YmDLP
tjR/Q1ltk5DUBFP1or3MdchhHfdePAYQnQyDuuG2FR5uFNntIpE/cnwed6qt4T76dVJQM3bB6Q8i
NzUf3cXE5+DaPytJYYvfu4euKo0DtfTUOtoWldtDH3fp4mwax+lOrQmmic0bE7DTIQ0vHHlLtSwI
SC01pHLYO4vxMjd5l9DUnlJEprmYRIW1ByiRH+g1iOirQSfR80LesCl/2U23nDyx8sXTf2j8Wi5k
JxtKQPdZa3UXL+fAjyVsJKEHSCnHEShNe0lKfCNETe09Xu4KcGS58zNN4S6FMNvKoLRH1gWNbg0y
tQ9fwcessXe4hd9lpuk8S+QvRNQ9Bb4zxmEXG+DqggrHe01MU5B4wBuwG/yQFhCVPvgcf7fAI3mO
mnW+TBlGdMXlNTWD7pxVnDfMaHLjzsHdtghnOGW2ucR2IC4R3Qz7ajL8jSBIsmWLhZddc+DDizns
uYXjWWm1dfTX7Jqv83orEcAPXkp5dVNuIEcDdhdkytAP0Taqcr3ghH5gKuufUvaXymzcS2N6X4Ks
5X7Mgmnf+nl1BZFWZRgOuCn4HKHS+TDVpnEZGmunewQNq/bVL6IzG3pFwPdmy592KA4DhKgf7nI/
jylzOKP0Y42b/V91TraNeXn1zH2D9pQvmU/g4/3oalch3RAWxkAPf+CB2EW0Y+yPop9LIxkX/30F
8rb3ZUUvYlH9EFp5t6Zn2jJM2PgdeW1kT/SxD/AGUjzl+6dZucHOonf94mGLU6O+zMKzL62SAVB3
+UQVHusen10YWxG8m4O74JhRQZUoNSaB0U2xaeQka2t9yT1iI+2SHXzkYySLPWKotVU9PjwoeONe
B4pcF9K3kwcDV4/XtvPEsymFyQOD+d9fyVMzoDv0+AriFZ8NMFfHTvIO36yu7g1bkgxWNOB+xbX3
QlIO1ICkegujtzp0Hy3NfRfwmq8mDVMJYulTXTbp4+Ba2CA5Bx0ZZuFBM60TWsh0HtP1AU3B32ps
ZoesmX/kVj+8js62rOcT5OnhiDl/3E2W+zpwMYyx2NHt4LX0YaKtbQKLGVOqo5847ZZj2ZQV7wEv
QVa047narF7YPNkGkK+oer8nTV9771ddjcQA5wC4Hue9fVREDFM9sa+q8muEfER5pknvIyt/3FhQ
1H1EpUPmLv6GPh6ueW5e6o0I7Z1TXHRkjq+GzWentZgzOWbTfa6O+Y4Vzdo4TjSBtbWqfa6s6FwH
1s+8Yk+RIGPOISag8Y4l42JEAduQ/kiFaB8jWoREb1FiYfZvNI8sh0hby4ZGPi9RXd3GRL5BCDKn
UJb6uWSUcqsHLqXIbCsDDpLFSYnr2+qGT8Lp02GJSJKOdXCR6oYpJTtJIxIbqy3Ybfy2ieUdDFaZ
xQEp4dqFHaU3a7sedHCWRg7yC7rzMJp3XYAmD6uRdMjmgclqQV2aO3FRQcANY79EnxadH93+/jLY
WiZjuGJvN/uQzhCaPPVs3813br91MRZ3xB7MhwVPyjFIF2NncScEU0gUfARmwzZH8ypGxaQlqMR7
NTKzq+8d7nOvts1QbrxWmAcAaR8dyfdzmhXfq0alcU1XCITBpHSJEIquSdaVg4X4KAbDB+0/n4il
ITSRTYM351tbvx+4G1GGvY10UeyVt+CqqUTsEwD1DKRilv+V7laPSmVelr3K53d7CNEvRwzqbQhH
LZh4Sc3HxSHMBMca1JFaOC/jJqInyzq3uF02owmAsQ6Ng9XU8pX0biYxv3iEJxYXz1S5MsOeGdKn
DV1uPXzjKHR3RN2db6s/vqcol1jh07PRggnMCcriYDOvafmIDOAfC4p6HuTQP9WZtV7//iKmmV6E
O3JwHCl+0wsN8J6xDQqgAPhzD2vEkgrcDrreIVctXHgnI0jWE+7f4kdtH50ZNE/WqGNh6O/l1H2n
TQDwAAbf699fKga5ufYlcHoch7kVm6agN2gdoTZWAbuWPGeh+Y2EKHXwYfs82dWzcgumrNrceXa4
UvlevJhyj2P6TDI1Q/T2E7e3/b0HCAdIjHMUrY/fN2ruRbdUC3nyG5Cx6ESjSADPCmlteoEP1G5I
edCavvSJS4hs41TtZ0hfYiVeyA+xPdbQ1XORHTwfhz3hlPcZG1ss+QknU30OY4kzNVs2zDCZuwY2
eRzGiL4ZUhVIMtMoD/S1EWamqjMg2YJU94ZNSG5St+fIWQQvYzbvzZZpa2utO/IZH5j84llhPO9x
ZKvae2kH582gFqAonhZMx96HrSA7M2aMZ2rqvtjGiSihIr2Qy+/3IsewlXWUnFdLCg56cPAFWCFO
hVHvCySGmECscTLIdfCr++WbGkCgZd06bHGT7+3F6YhbRfLGGADz2XT/jQr/K4XsrSQuK7U4WAfw
uZJl3hkO/SIprCQu0UxOlm7XmvXNqPK93dcwIvJTpi3MF6HYiZ6an76vy6fAjs4dJW5LkH/NtfyT
rfReNkRZN6Oo2GwGCspSuTWAbD8W5LvqyK2vmDx+5C3xuTo4Q4h8XwP3ams/GR1vjiUPDggGQKWg
kLbaqsShTkvaaC2x7nHHj3wqKqbJxXhcQ8pcYH0MW5bTm2PYNCczS3Py+WyY/OY5Z+lZtthljdI5
mebUb8uA2gLDEldEpOHi3r84DScyy47ebPVbzDb48xQqki6Xy70dhs/bE6GE5Qn7yXoPpkFy8+W0
6XNBYszstlaQe7+VUm/ieRjs9lIh0zz+/QVjGq0cdxqFU9yUnxUcWtSSuN5oPaFwNdt20gTkfYPm
L/u7ylb7Z4Ztd6usLn2wUVZZxbfEzeWVXbc5536Bi9zmRChamA2F5XDLn8MykTpwNt1MktVpRfGk
nEqe25yujKmbH8zWxhptM5a1erzbIpiW62QZxjYio73VZrg+5pMTHEq/o37q/o+1X5uPtVm2+5EQ
4IkFpVJU/EJE33UM96mRzvB0F+LN8unhHFuIu1HLYUtGn0Bc9baaWJeL1mVVU+62Q8nbO4qOH4O+
nykrrnPVfzdH12QWX1NNnpPsLqFsqGDdYi/GN9QK2r5n4rNE3K/VmhFl4APp22ub4Jp6JhLxqSaq
Kxxw6PVYfgP+Ilhpr9QX3mA7HauMcnCkzOHgN6CKzWCeSTu7z00V5buUm9jGn6w+NgkdsbjP8FIo
2qGPnKMwf3/K2HCguq4QoGD1slinBRBB7xdgMhkav5awzM7W0l7NoX3IJ4aRsKvGM86rVfCQZ8Pw
6LEybCM3vXKQS7eKEcrOqSYM1vJrGOruzI3LoZmJtGPudJiX0kc1NdUuHBdB07VnbUmcHMI8/T4J
Tiezs3DSqjgyZZxoFrprSVTfY4XGUsQZR05pFwBaDe+XE4EeKgsS5YHlwxewHm3O0hwI5z+uU3/U
uvxmNm1c6QlmDfpZ7k0XT9WfI/oj9yyaVWfpb5XAAj5jqRn3+aSbPbFP0l+lds4hW6Lv19dRRjpR
1S/bO/JmXznseTsUOjyw6S+31A9Evad9sJbP7UQ5DMdWWmeWt3lSDmEbklGpVWs09PVh5OqzWZX7
09Qdn5du/EZeHqMTd4BFhnRz9s1uzDzMBGv4U3rZyCZG0MjM64mMN/srSYYLH24a/+R7pWiqZq+g
iro6kQX6oxj27TsHG0wJnB5Z+iJbPB6DDaaSrclOyqDfr1mgn3QLNIPw81ffKFj7wfrscue2VD8e
lGHSgOnqC/crS3FWWQEU0b/ZJGMNf0gWdrsTxm/PRdFWK/L/7FJDEOCgIsxOkaEwWyZ+a4QbGbTc
IYXuwudzY1MTnrAtXybbG7f5lH5DZGFH9/mjKPjwLMkDGtBo7cnYXbIvJxXHHJ/yQXriPAG8wpLB
zuMp4v+pd+mCoHnnqgkQCb/ahlSzd0jtkVa0sbhCYCkPvtO/2k4enm2BroAHY+L76u91XqPtzkD7
eCdfpaAXM0jz4dJHa4wXUG0nsvMx/YCoKSAiFzt44LG5NGTCJnNIuchQ/NzXBq7oCJW4Ctg/TOGa
xxzibUS89SLrS8f0lp50TFSYdqFns24VIwExPzMS4dLm0eOaidSpD8Pv+VJPJ8cVxq7RIPwaIlZb
2kvmeNRYZmR2lozVH2VYUDLgyV3ncPqInDbi6ek6XuOGTl2H5Fvl4x8nUqpgDy4aHtboMgPMX4Fw
yiEDl1MAhCBEwFUWzq6crFMLsIh5HNSGyNXfZcsEQti00EziIPkxlbjRiboJ8Wg9m16HzapeH7qZ
/ZqUIgMvPOEBp7wzls32PJbVLbQd2rirW5ZP8rvLlksJkRDCjfOccsnOr0j6vAVjf4p05bNpv7Qe
oyUWseW0MNp5pTiOWyOQcPgJeSKR3rfT3SPA5CYdKKGzvhpv501ue1D05yX16BTUiLOojxXdn531
2xlZIDMkDXxveXia4C9T3HrMQ/NHZpo37SNUeH1tbuuuMQ99R/byboQqXQFOeMYdXWoQy1I6j7UV
3lxu5JVLi3bd9SWazQwIHBARNjmIqGoqK3wCXnjwbWujQn/Hw1wn/TD/udNv3rqZxIcji6MnvGLX
UlAaDg2e0oG3q8nQUYTLQpxp2ZwNl0GOLCOBBO3/6F3lbJ0UPAyf94TB8YXlgDYh4HLAAr4rs8hi
0Xq3YaaCy/XJNZkjzwhDO97lO/BRxlkKBRXADueqjobfJvxQ2fI8QxqDbj0mTXmplE201kEM4PKQ
7hg1c+DnvXBDCiEb+KkY+szYakZ2okKBv+jfapWzYuTi+5hmDMfco8jhSoQSbrMHUqbU9+tOnkRc
7rSjk9KckI+yMe5DSQQnzPiwrPlDtcpgA32KgJYW3JLy3thngtCWypfHlc9SBr0CTigPzOIS6vHN
ZJrTT+CXXixy9H0ZhGerV6Ce1IJmD+dcj6DlODa+B8DUkiz3X5qJY68yhc315HEcnQ7+BnIYKL1N
HXmPq9dn134I2FfF+Fp+uNk7XQVIhNyJaSblEUSpPTJ13Vv3St9R0LY2m+smZT/egWH6DMp6H7qz
s5vTPOP1dX+5Ov3MGu8jn42ZhgCgeAStw2MZ7jxrPOcOL60y85HMPmk0L3/pqyLnqWQauTbvXOZ+
W3Q7c6jnnEEG+ODX7ItFNf1SHXdPcE9+OpJ1bYY5aa2q3Eg2CDGMwaHA9oAZRJ8iozwyuJeIABSP
cAOBi88kQkeGS59qeZ40Q3ZLTB3XmNzb+14VJpYfkYgIpntPF0bpqXdBnJrjhWW0OlazEaNkEkUN
8NHWIHFOMODOTtGFscXthn2pPERyyp/7HtKAFfTV4W6s5Fxto47xkA/FscODHXDmqnBh2YXD5/YL
Fx8bSij3fVjSEPQWQR+lHcKHGzzoU49JzCFgyc8h2i3fCkS/b+yBHLK0lf0lap2bTLWBPLosG2P9
TvHg9zSsNJFwZvvVLIhXhvEs2ieDIfkh8IZfwdBzvMrGI6kWk+qET1MxCzc4k5IFRmUzx6vXuBgM
XRATRXFyfUbEhU6o7H4DZvyWltVzXbFLi2AGlgdbjET2JqpEQr4v2CJ0umD3wytzSubdimjKVJKc
W9v5Nsh6iWt1BvfanZ2ofFzH/EG5QgDErKGzsaZNeciNn7n1tnL6KA4xzCWWntqkmzli9lE27gLn
rtkO/OwEQlxaqQtaLEDHVhcHJBVNfJhGo++jzLgiDM0O+AC176t1UVwcPT0Fid0zik3NndsSxus6
htW6g0vpV86LbafGs2S5Pc/O9E1E3OZg/0Aus/a9F70JqTlo4xjd4jXcCmv6TB2Wp9bFrhJ+Y8C/
wpSwXzylnpRhPxle81APxKlnd7i/9hdVOY9G5zHvSvPD3UcQkRMMfPNt5vK9GZb0wvtIWIsiVxrC
dkVhS1yiL8RtU2aA0/MYsbvKkTGe6J89TuychNDi5BSwj5jtDuMfSiaRrCUyYm6aKq7Z2OKVkN3H
wh8SPfA0DW1jdiX4Fm3c5rnV1XSrMO7FVTaeAHwzDQ1YTwpXGld/LC9Qq+p4nEz4V43rXXqjgJ+C
RWfj+CmW2tk+eNnwmKbrozvSqJVrjenoGhJ1rYcaW9aS3rhPXXMzH05hnSLCAAyaJZ5S4fwMdNBe
0JWSyu3y4+CUJ6tWXQKhLdu0LSOCLL+A+oDQg3NvMjgjTuF7Ke9pwDR9CLXfX5pCAsGrXPQodmHa
M/d1oeW+WtrtECAyCBsFcFDVTEOTOcX4lm/C8iijqB8BuzQEpCEX5uXbkBfNoTeRZhcqRWq6+k5R
0L0yF8JaU0Qe/CKyiSvR39SRR4gc+JoYpmOdtnFmltO3yjmpqTj2NfwA1AcoCZN/1CjZlDvwQCIn
nSC4+L5FF2vQ0+tr0xisxIrSdSechCWN4Ug/aJBmMFzb4d6rUaJN8ety1iTVlqBabBjdHRhJf6dy
djlPnKUjswVv1fP4YbbuOrhtE9XJ2nPbvTSggaw0HgWG+2RQfjz0DCRA/fmExQeAj5Jh0VRy/gxz
d4jhGkBvw02z1YV/UNrliFVRIG7RwznzV9eWYsCh/RjyJ7tbIeJ6nSOuV3QA4gaOlS6iHeOGYl9Y
42tu61+Si9slVPm+MpZjeKdnaE4xsaPuzateQ48GDYXl8jNgbVy4NiyDcZwzLE54HreolqyQY7Gf
ZVnFJj5yEmUI0JKWMfZCHKv6UlHtYhZfpeXke4rKqDpsG5EY4frHcmuKx10X9Exnin0OvHVDpqO5
LhS+t/AH3rWRdnE+mDskk+Zm4wJj5QWbIz0zShi+cYxBDXvJ65YUX0kFyiSORkvkYwyw2zK1eFA1
63NPBG9HAGInZB89cm69Ypr6XjqAkyzrYyyUH8MVPUEaLCgayUmS9REnm5reUfHTaHiXMVAd6iD/
4CyJcYBfrcia7DDlULcrDtdsdihq3baEwrorQmLSqcvoYoLerbtXO2DQmZMiPkjD+MbHKgofTLjj
LHDMAKeDulrvRZWil3MyiRSWupZIgDc0N8RzPo0FdDm7vmQ+Y4fMfxmwjm7sWT6Akt+EC3QQfEoT
Bw/vadD+J3VJuwGo0My9lytzfWzvllSr42NqAvyzhixeCNIY2QKqQAe/J5M+2aDBC8oGs7l77mX4
RdiW5AgfmNFwv7wKT+FsPNlh/wmUkIJthCfMNzCDpumyLmN2s6Ln0uycS+myEQ9W8EnK/yStdv6O
fLNT96tw6wbua5E9VpWiA0g4ijKcujsUjsp2LVPNZ0JCT3Lkd2J24t1UsXqvGYO7sFjfHE5Dh1bc
X0bgm7EXdevZ5RqxobGt2zhLbzwbWX0v2sa36+gjk5jwGOgmKWtnulI+Ml///m8opPN1UP0n9dfi
8K8/FDYOzGjS4RbZKriZ94tRydlhdNffPsfeUy4bYOvwCTb47cSTysZsX9hTdyNgTrd48M3DYnvu
ucXt5xWh0dJ5fmwaLkc6NDExznp8puDxQO1kXCrxOuETv9ZrjOvD3ttY6jCQ1YV5CBXTMLsfP2Dz
nbA7cRV0yvwhKicTqNIabtfJthGfeDpnsKiMkXM7AbHJ/HdE8XSy2UT75OShx+zgVrpKQF5lD6F9
cDAhwWnNxUUW/bVvOvuhCsxLOy3q4gjvCw5mtB/MYR9MUxykHpXv67RPQabsbAbK9erTG8/0dQhK
lnlrjKOSZwG1PEaouUIzvJHdJA2KBd9TDgvk2O5RN+ojEc90Y+OwfiSJ8pZPpXNryHo8acEKyrTH
HWf7xa+YY/EmIGIwL+Kt6L+YCR6N2s9YYT/z0q0Sby7KzeBVJKyRYnWVga+6F9YWC4c4YLIvWhff
DKY04VqUvDKo0Xm+/Ow0J3evrd6WLvZAV5FaB5o6T6F5lIZICEqlx7w1T7nRbJsWjG5H+wvIjizx
8OmyPQVHaxhIng1iStAOiHUFt2xiE8nfadHB8OA0w340R4qSuULj/wxYE8FN9GdiBqhWI62b7fza
to6TkHYT2yG3bmE0vOXWgHNvcscDI1XMEW3WMmWp10cycjECyQ1WEQzhZcmT3By+ZVPx3BWjTpiy
XVPs54fBJbW4tBOH6nI8pT+w0qZ7UGE02oCQ3HVCgjmOnNfAWUkEjEczzF/EZM0xyy0kJUIq3K4d
SjmAG7lL+NpX40vh9ZpzY0v6bGSeKQYeypDX3JhAepl2Uezc0ikvKzCXbT4YzUWsHsVAgctgQgLP
GokGBmQ3HPSjfSUYAhvtztDNjxG/4HPNzXMMjI+xWurDuJrECAEQW+AqIQ0ZAoHL42ZU3hz0OjAK
84rHUbAXG+9M/7m8QWfZkr8AOLREG1J7XtCxqiGmmeAxIGMkLdf+je+NckdQeitmJJJq5l0L5fBo
iVxvAlH/lNHA9BX1bIGuozOkUGmz79uEPTYYpfXektgqQFh5BSslYveU9NOqt55l5dSdAXJOkY1w
+cJz4Jpv0TiLugtO/NgV+CfMmSoSeAKXv79oqkGToqrRrAhGbZo7LLPpnKd+zMfTKvWR479Gh+V6
WzqMkyPxObSwfW2J48su1dXXn4WTtl+C+ivGwbduVvc2uOEbBgKqG0Z3P0TexwIkc0eDwFdvGdj3
uOzHZUQbm5bFQDjkuxSoIMCQHhiC7U2h2hjc8N2HbmNaVBOqhz5pv/JOPt6GBgxksmBfJcHLT5te
yYlHL9OY/gkWP8lRpWEpFX5i0rJG5OVLd+DD/NLU+/rccPnyNc0l6doNe9jVrNKSORVdUbAEDbzs
auThJ3ume45hTnbFjVzupLDJtRsup4iIz0i+Pq91dU/HVntwDg4ZNXw9kNm7zSD9GZWD6yBdaIAr
1MBKiWpcEKjf2SFH66qGdsYyjCLkoQnMTLgKt/k0XfM7gYIAi033M2qiJ1K4tHX5/cuUpXhaBgFM
lRCHdAktIkUZY/qLl5bcUWGE5OenbdjyDrresL5Ic3LRBl1zy/+EdopjlT0f269pvesJKmRtrb8C
OuS2WFALDmjeTavypfADlHrAt7B+RYxAD4oXD24xk4Soy8Okgm+r/Y1g2hfJTH7LNkMAYG4Dyi26
BTnjA8YC6a7QOpmVvtotO4w7EsRo64qZqPogu9xHEmXsIcumb/7KdKKR2SUnRZtGa3QnJvweuM7R
lKwI+mXvRfAZBiH3ttr/HOsMHrk048I19qySa8xElMSHH4+DnyxYXKCSX2ra6LpVJXTZkJXIPlID
5VYN/JCAZ/ROrvyjNwlK7bA0iX71dkY5fTboNJtGP4QOMlZFjvpeV+c75UYzDbj3lFfrzZPg8ga+
PQioq5XKfGsqdRVdx0aDiMoN4VAQHNYMZbdikicpjIPtIyqNhhODDX33ozefLtqBK8VA+SCwWnZu
k5BIJl7LLEuGAI6yYwY+IoJ5rIU+V4H3Ua4hLbMSeEi1hRirtgC6Zbc+NxM4bgZCVO5ufOOOnuIq
tBsM9d2G85UWsmImFYLydLodBnq2GVNAAlKbLkp8wBIoq7sajgWBqu48F0yYmYTl6xLTUXOEFKsQ
r8SXDMjeGWREjFnfIji3pa9jAlkKRJnxmpvYzJr5Lq4sOf/HOTrmQ3pQeZDkDsGTAEAQPhImbynn
Lednbz9Di7z2Vntp3YwD5EPI988clVgl5Hr6WONCzwfMNTcbn1C2VMcykDWIESgcRuAkzWAx+0P3
jHL+5rBMMSTd/TaZkeLbKI8EqDFOW+X3NkovrZNGu2XHqXc7oG+ypfBYOwy4CRZ576umkK394UD+
20aTyrapAyRpBBRiExos7/PMRvdMtLhha9PiamweNOQbhqDuMRr8PeQe2jHqdJvn48OYd49TkL2Z
tot6zGDGnYwdkZknu28LlnVxGWmP6+v5CQ89MHUJnotPOoMiuW5Uj09fcWrAf79d+jAJ7eahHXxu
9Ab0Jjijt57K8TNucxDf7qyIi9D/5mp19gPnzNylfh34aZJFgKEB6xsPVjicZo/T09yFwxG0L+lh
8OVMkt/rJlxPzjrFuYzS4+o7X9S52CRh3TeWiO5ETJW70cBPXRPmCrzyioeXxr1qc59aYmR/HRht
uLPggiW5+VeHlkkwr26HJuvWZzDTiTvMe1FxIF3E/KXCmTlDtVq7qu1qzivQX2NKAjSszrEmU1jb
icD6stX6OPsfTggUx5mn5uQsI7qjxOuOovum/VAm7WgVhKfMz1qzNxDTG/ahOWJGCLQ8mE742ohu
t1qwnQoIPngUFo3Xg4aCZbbsrd0txW7p02UzRurmzr+bynJfrIqpZktzZi8YXtGK4O8AA9g7TOTp
zsM+ma+kSPuZ/mSGG/BTn+nkpANUYv3HdoQwN2FSaB6wPPUJb5b9FUJbAuZgPkbAAi892JmiVg+K
e9852FXSJMWPVHYHEcp9Y3MHt1oS5aU/cnnsF3U269OUj+pSMpBAWpTHdBV7LsZGQhj+lVE1/BWa
Ev2GCgpzol5bMslRXm49VhFuVIdXpV3EFyEYlpjVPnR67a/E0YIhzZMARoGF9fCsBJfDlpF7XszV
AZ8PNsdqnBEfWov+wbW8ADriYOD35QmZ1Zw4ZLu1DuM64LkzrDuGc3QnNDYTV4AbAX92sDDVf8hl
nyzqIng25dechT8DSHnkLZmSwxT1zDGhNmjr0gy4qWQbHoQVXrus37eRvccbwZ1JYHwxrePEhsTQ
+k35yEjtpb7f+xU0bP88mutXZvjv44qhrbSRwJ8NgKk7XALebc4QVhemHYEcIM5F0R4ctwBCK4hS
fFD6hCgWTN0uDYJnVTTJ3+5UciV0q/qoqq4sf3S5dXQtDai7qo/NSHIEJt1vu109iFNUgPiWZHpR
jdmRHM12kVAQgr5nEWmrBKyEQ0kTLPeZiGxrM0/w4JTt6AQDce+WJRcr9WcpWm6kWXUye2BqRe7h
CeoOBlnoxPcge7QmIcrU+SLXHBw8LpD0RPYcCPEzvHk5D5w1EMhzFvFNgJv3NBPXoZifg1zGTRlJ
uNiCo7eXonxYOSN+DtZN4ISPum4ISyMHHwlabF3mBSUIG7gdPXdIv/1V1QwZDYoQCFqhu/RsoblT
HP92lP//dtX/j2tztHwLbcE1McD/vwE3+Jh/9BBVKK7+z2ybf/3L/zTjU+t4b5ims8cJQET5mN3/
acY3/7K9vyvMTRckjnf/k7r5R2e1+5dl2hjtqVtkgONb/zLjW8Ff9BRSZ+1T/uMHNNX9t8z4gfNf
y4T8EIO+bUV2aDN7BsLzn834ZpqPBf+Z9/PgldvVKy3ii1TTyUxxNRiADC54QhbPao7Zo6UWj4bj
etiTrhdnw1bPFjWl2/LOQvGiAV1jcq6LnTmPLm6DVav2NkwTttMe+xk01ct8b3O0LYfqOpAuxfSH
MAITOQ9MVxaApmCV/SoBfZ+ByKAulfbjzETV6YDBYYUCQe3yxHn5e3Z/Avwf6TqGXDFJPqpHFP1b
x7MZu0Qu09qbtubdbY2kEIRvKg392Gk17jQIpInk/pYOADWDlTe6WgSL2lY0/hPQmZTq7o4bWup8
x1XE4fdzmNNLV7ofbkkIFuAFfUv11Z87Z0PrEFkkBEmG3fOGNj+gMxhJUE8uodW/Z8A4lSThpIuj
vWQrw9QaF0lkxzZtymbEBa1t1etYLr/nnON6FDVbO+vfmIaUB10m8FtSZMr2LWgJY+vSSQKZbvFV
zrj28OHKvO+RivAUEAH6UeZozNlsubFd2WcSyv+HsjPbcR1Zr/SrNM49D0gGySCBti8kUbOUyjl3
3hA5ciaD8/D0/li2geNuu9u+SaBqV+3MlMSIf1jrW2BD1nifAAWJ9hqSTO3TAPwmAupQTexuEf2Y
smNEJ+Z6bYfC2Q49r6TdaY8uU8cgK9xTGuTrlH3FWQ+YpIB0iS1wIpRHJfkl3QQRcYZVrNce7QQp
vKEwiQ5XatuKkjwdSHxr27OeyxbWNceqZCXGMmeqPIyofNAoS7mV7Bm1q8kIxhF0otlOgjpfpU0F
HRV4KsQj750pLfHW6QfowHlFek3B8dixZkBHykcoMW+C5hQzfQr9cY6RRowHFETwW9L4rYM4selL
cnsY6NN3el64xSfVrGrIqv5YFd6hy523KC4PGWEnx5FxWmsE2QX235p3ebzpTVEAcxTG3kDo4ZuR
PPdB2X/yfDwJj323wOBaASHeUAiUDzKUtxTszBEq4crJffQ/6r3hFY8qmyBzKu2PJrxniv8E8h/F
R/fk6GbyiQZsrdtlRXz1B+hn66EOyYwUbFJ3rejSU9vkn1WgR0xexXRgGTOuM+6GVT9jN42jMFhQ
Ic4Kdzn3fYjUmuSZ+8aa+ZCHMronZqlfq4KyAJnJvCfzVB01DMa4MEbMyEVCqAnaecAAirVF8QJZ
MpWojCMv8XFGKt/ty0uaMPTMvmJRm3Ai2WY4Aw0jmB+Kzvq3q4crPqKzxytErVNuZIA0K8ajtE5Z
yxQYuUvaJFAzzaYtWouLt6Lub/eOcYfGbd8Z4bIIhGiEilTLmyeUyeyInGGPJPBYZjHiaj6grNdT
vofzh6kXGGBZAKjzhB+1WYyNkRKBkGX2Dh2Mgqkpb/rE93fkTDx4rN56tFtr5jdvbrmkbbdz9m6b
oJICS9/BVCr4Dvp4lwTeo1e85czYOxElTyJprJV0ZjZ6kiAS06TvD9tzw8EgSXkCe1nvsFB/EKxz
Gp1xO0xMVGUeJliZczYY6MZScccEQCOji/1eq8md8gASaiJd0yLRU4TsmcayfpmT5FKQSSLLCzpF
DkFyOHcacCOCE14qpyOMBy3g0ZHVnWbp4ZkIowk2c6b2KthlTWBfBm94QEqas/LyQ+DjdwFiG366
HSXxlxcl4V1HCk/vWsanrCvwFIN+iqxx3guskIJCdAOyiaBzbO2HMgsfysY2T+7YPSb6hsK2vipY
4qmU+VUpjxS+hNCo0aLz1gDvHZgcnUVmfQFUOQDQeE5a7w9JwSahRpTWZJoB0Ue+GyLIjKNv0UXN
KpIFA7akHJZ1q1+iNE06qOvY2CUxqLvMbitUaj0md3aqq7i+Jf1kbUqncrdBMR+Vl325nflQFOq9
7nv8WOmluig7/erCFuV6kwXkqr3p4ljOQlwNl20PQGE2xgmcjoFYRdZ3SkHwGi4FbIdTC5XiwLyI
aFRjZt3Z8TYIuMPrbLGpTLN5CMLgpQHStOoMtphB2Odbjw7RCuNj54SM8prgu8cNNowU0BPD+VAH
kdqh5MSoQHzspFo4MK5c945Rb/BJrrApzJSUHpL9Faa435YJ8WhkL6lhPtBuwacagGwkSAuUNkB6
qUpfFtTh3dQd6LTXQRpqK7tERBPiP18ZjvsczrPwGYxzEXQPooHBbxjdi+a1e6zYI0tTdFGth8oV
2eM27ZwnvPj1MXDHExYTbyMr8qagRN2DktCvU5HijrZi5RdRbF3mxL4wDa7JzbLxtdTpKUNryLRv
/E4F8lzLJQhEldYLiEtYmN0Y/lmWT3TJRU9UXpk91ANRErUbjQz85gdj0sIfOzdO7oTt3AxEu9W1
9ljHljh2oLkzAD031cbTPkTItvNgPR2ITuJXDhPQtugQ14qGz3RKm6k3X5DXWlfB2z8Vb0FDal7b
dH6P+HKrpdwV0qyCPaT3G1kx2YmMCQh67H6JlyoQe9iM0qyk8GGTeGc6wHRdYdfdw3mp2IJmDbCV
3NiSYhtty9Kx9k697DGF/hmh3nsaox8Fb5o1Rulc7UVGQ2a2tcOeOG1D/NcumRpb00jTk5YV+rlA
f84IdejoW3VxkpO91+O5hbyR16dSs25p4HkYv8VPPzOqjQDKJV2v7fUSOA90cvOCE5RhTvngGfF8
lYzlcNQgf1HfXeIR1alzQsfVDa6DufXC9DOv/0w49R/LnvW8mV6cOrxrusreF30LczR31gCHYElk
xYVLA7NQSBItrzXzh9xhcWDrN9vO/oio+EirCHpLUsGmRyS4BYaP/C3tH0mT1O4yhLVrJuUbg88V
6nDmrGaqf9tbw5jHfblcfmg7NWIMjPotw3gUQjw4acB7IK6Fb7GpasLc6OK70N2kzEK3pCOa/mDJ
eVN2E3giF2VVyxJ6zbujYWZv0x1SDAPBfHWWXVpvTBr+de9N88mL9E8W093OQpR2ar2Qo4zxBryc
ceOZkhAmIW4DfMLjpPLwznKI+zALP4a81vFtzlxgZMmF4Tbmc+Ij+yIjLiAzkndX9vIzwXrWZt19
OZUoZ4idCpNL7soX2wT/V3+myGhYaC/43T9wYt4ok1KODR34GfOJvvWl9ROnho48tnpi8yGYfTpy
HTN/YkdVqwNLBvdmWhNDdwcaDPOzVeKwEgDYZNyg8VL89eE5Zy+wTvLxsZop9iq2OdcscB/qPkEE
grLpSLA0gRAZUhcrtyx4z2n4JPhXdjw822bzjkxpOLJ6jm6e6f1xSFmSiZHj0iX+rmB6tzFJyvBZ
2C8ZTMCnkDV0exSg3loWrutHffDY27Fz4wI/Cs+4loPeP/VheEUD1ZxrLHd3idf1Pg6VmRLW4g4A
WE8IZ6euQPUIT+yZAhCqo93aMvsMq0l/8woCW6K+uWCSay6VFreXUpu/kWV59NNgwpFw3OcQxvxs
ZJ9ChQnZh6PxIRQslpLUHV8CnohVkY/Gkfy552ronhb+16ariAgopwfTEdceUtyKP8UC1Tc/Lq/3
xrQnMoEmhpuhQscD+Y66HXeUZrOTe8vHxdxAwaBp1JJKQwRLGgiBk94zZhvkO3n0boaKDOe59dtJ
/wPyc9hMEQFcdgJIt9btF9PtH+cJsWhh1rSciwZDD256rF+HVj0H3rSTNoNsUmBe0nGT6Vm3yeF7
n9x6MNeBRLBrZ9wrSOeYluXZNZTlhydZ40zRj0za2meoWq0iZ7wUerVVcw7sDjQHCWIXMx5+mYQg
8pfdS5aPZ9e1IJjRIKWYZY9xIb6aaFETmdYurvAhWSHpHf0Mqc81WLQ5uERyNSIGm5I3TWvi24tn
x+G5cZNoV3k8w6LpuzUxrD3aJOWs7KZ2NjAtEei50wHdJiL8GmxX4BAkOLtXlLocXxFR9sZzMali
azr9RY+bS7NcmMvK0mMs5reCYjeknRhE9tZCE4F0gfKzRSpR4AKKq/wBO7dBymTwxkKH2tc5x1P+
BJnxmMkUefTwSOUX7QLAnX1kbrVAURhRqUFXP9tO994GgvJggVXw+f9T84nQTK14RR8EKUmDrj2E
8b1Vxe3OKFOs4OMIIEjnEGIE7mBES4GOluAl3O4cj17LzqB9sod6JJwkb9MtSoAUhonMty6H+9EB
5MNGhzbVYtQKEJ5sxBG0/G1CycSrY3LiVOZwyp2T3sYEarDwh+Ei+0s5VHcErqySsgmPNVfWLjc9
CoLQ6e9yK7pVKtXW0I6G24DEhzLoNy9G51SErMcq3mJbi90NPn31wFpSPdTm+FliQ2dMuvBoe0zn
Qxc5r2qe94TNEOLgOUQAuuVd5iV3ScpTzCewPxM0exDVYJ+tfho2AK7LjZkb47brWEnPKiz344gg
PtWdC+QYbSuxTd6VEMeNNv8UVtu9dDvJjv3CkIKd6dhi4uztp3ox66FcHKT5MjYmf0BPkZbTS2JH
H8pUYOBg7fSR9RYEubtPdbln7LYbnDEhkNWRqxwhIf4EdpcMXc5uuWtdG37H2F4DYIc74E67FgDn
WaAIBS+n/NRDGVLAzPGtarimaaehsByafWEhNCZ4PdtaRt0fApdNWNqrTc9MZ821qTMMpd8vQ4Nl
eUGuRah0/EV53WxdxM4rmkNSCqZpfNLs/E9EwO+u0qK3ePlkVkV+MqUBsSYzUnYAJel0ZL0ctWZG
+VEDWTfgfGxVlOK/1pX22YXquMD8XiD1IB4cJLPmOiGmy5z2uUZoBqFgwzGhxYXck2HExNNpQ4w/
GWF9TAJGF9WcTuA6ZsS1Ak3ymFnE9upoqtMsemyTP7hTe2ywWs/RJ69uaJHJhqYP0Cee5yFux4tW
sXZUCZtkAhgBRqL2nVXJWm8YyJcU8HIFgic7mM5lg1gIL6Vk+1+3d9j6h5NhaxfDDm65MxVXZyao
J7Oj2g9IFdoqGX3EqMdvRYhNbwi87LV2NGudU97vUg9JbTMNztk06HOZnn0oCnjQCG1yE2rsyLxD
WFnT8zMlrfAWAP7G4yLi0wIub/UluJs1R6NglIWiDe900TDyFRQLrYk/HqN+e2id5EJ+6LEeA4RM
uf0HxTD6Bgx3JN9C07PsnTajjZhKcLZ1XrOMIQ3iAEnqg1BCYAV4nNa27mJNlVF7kGzyQst7jiNT
31pB4iJwoSdOiDV87QoeS00rqvesH2AUz8XBtGzLr8voOx8y7QjdkA8nIA1ikvKZdCn7y0gq531K
4mJbz40Df941edBtPx5mRcp1fofoYtoBanRX5QJkr3U6/AhmFowzZLHOlPekBAHmCbdjygiDrqVe
IdvCKh3dqZjDByuhtQ3J4OFiDQ0/8bRLPiXGeRwm94iQ97wIvtczYKB9bPJKgib+cUf6krJFHV9I
5y5sm4QsDorSeGB5aQvc0wzWjZNZDj5qNCg7wsm3c0WTKUqAhuHs5nfMIh4y5gt56uW7zkhbkDdK
Atjzig2GIuhGdtBTnUZE2KEbZiMR134+mdY6shCSYQt3V3HrvOTpJPZNzFTAjRxebiIyzjWjmRBe
6T4Iid8BefwEQCV/lDzTJoKMrp8ec7KgAdWSQhy59wZP9SOpSdDQPCpJURf345Adg0zhQIyZGjUB
/gSsFQ+1TlsZicDaN+7w3ppje2q7gXSkdHLBKy1yzNx4YRERyukDclTDTBAxSCTpzlK0SlX61OL0
voIyJoqOw/9sx1vX8WzO6TA5s5pMziqBRUAZEu4wb6V2wSABGOTFMlDASqt6XLDGKeTi+8laWjjz
Efs20iRTvIXt1G8zwVU1zenVIVII0xid7sheCaBK86Mtv5Hqz42hPyRkvO9mp4FEF3d3BA1Zuyhj
eRtDGahJH/b7OqrXytbxoZkp6+NUa28QZfZyEPAo89pYURNNB8uNKJBrIFhIP/lvY1mf42S4JZpJ
7mFQFavZGx6HgJDrFgdt0VTbIliAqVNkMRPVsaHyeg1h/ggz9SMgBehM8vCnqVtwHuWp7sYTkPP3
bj5Uo/dVgidF8tH//EUeBaWSHLS6JUghY0crkHZTCNdEj67iwOJXdr/zOH6bO+1GKCgIBIk9WXTt
uAbpdCLo9J6ksAGxhDQZM0kohlb3INPWhVLI9CKxWAYKoM05x0CvMNXww8di2qhBPc5m84gN4ZiF
HuwqTf8waKD5SIZYH/KzqSnEd4JVcu8En6LWoASrzncYY8VBmgExOBRtDRohuDPahokxlBnwkO0+
ihrisL9Uo7GhJaxqNRRbRTzYPixbUgLTc5LC3CtluIl6iAGSiBCm/IiQm+8RmBw3eWygXY4ciF7G
Ngb6ymi7n7hT6icPhYbt9Z9zpOfH/F0q7SYTte9G9u4YPO0NrZC+SjWosrV4xIrPWUGjx9TD+dOE
iKsGQw99vQbN1xHN4jnudnS9m/FahHV+Tia4VHopDhp7/G1qZyBnghMzGBjh35H6UkRIHpxwvqba
b+dQ2jgwgseE8l2Y4QtOg9e4GjQssWrdiAIblOo+5pLWg7kfw60qOnXWkHOZGprfzL1xsZL6SlLl
N9rx5paodlilisk7PW6FzJZ7gGsluk+LRf5DnB2Uhwm0yWThbNdQhchpOlbLF8ypBzOjQ3ahY+V0
qX2UWCd8CPTixsas7BLB+qtdZQr5h6PTF6t3bDHV0ZQ917Nrfnt9CW+vD+JT7YHubsT92AseV0qz
jtHKEOPNGZTb+/Bbj5UF+t9wZ0xHE6xyaYP4UclwcojUWlST0WA+e3r20anp6JjmOSihbxuWtadP
wqowTZfImd4DGwaZCXYELC0l4LUV7stsJI/9mJAwVsvL2A0fBLHtkhEbgyVv2Nizubsp9ZUGS5FW
ZAA2IX4OfHjIBzlIXunKNoHFzvqXnSeLxmzw9nBbqL0mQp6riCk7UkRFIibaF/rJHtU64BugLvIT
bgmw9j5zNhOI/T3n0sEqsRQgDTT9tIx/8QW9pT37FLmfrJdOW6LQzftsHv2mRteImQ79fMNfaJXh
ozfJJ8dMz26r3kIjfXdFZW0JPH2u0EJHibuOlHk/h+6TJujST5U1fLa2+5oP5Vs9E5XQkt6E34Fd
jQ/qgBl0jTGcE/7K/LAxSLstBo6DcM08KvB1ROSbxHl2C7ZLrQ0aFlDPxu16OE+iuOsHrSBgqq9P
wLTSRZxvrDpXG656zUSwbOlLwwyavZ2ZDbM91z0gkDszeh+fau8xtTI0Y/iOryXZziKzzVdWdOgA
w+YLCKKFCHn4DrGfb7U4/WhU8eG4RnpPAhDVf1JVMB7CwbnWRC4MjvmhE2fOC7c3wLQsqo9V3iEB
aaJh3g0RDw25TtA/OFWPWTVOfJYoFlgdfxttKfZeqte+YVSJL7O4Q2ZFK+OZdPO9EM9l3b02Wf4O
mBw/4IhGRhQ/kEqTbduwC4rJJlpJTSHMYHy2H9sYtcnyl4oEVO+U9NU1A98zw3Ei8A8VhYvNGlcV
A8wghTpcauQ4sprcz2W8J/LHPLPwJMgptyCowO5cDePSBaS5P3Mzs0/KUYo2G4uU8XsmO7wc07WO
aTP7TjvHdg1gI8hZhGEFgqbwknvESWSdDxZcP8xCu6rUuC/sKARqN53ZiiSXcSp92jVjNzTsWOzS
2YKUcU9VgwBMwhfrIjnce664ZpVp78bAMDZM8V/MQUvu7WkR3qTq6tApnbD3N/uq1tnvYZXCQ4s0
LUFlVHlcMVSge2S7Ab8y4MjIKcJ1YNkNFXInkBs1O4sVy15azldLgnFDptwKRynjVUb3ay9vDI5/
uR2F2lftYLwBP+BS0L0Hx0GVojITFHrTPdfE1B0H0hx3eovKZ1L6hYs3efRK8Q2KlPBhmmpYIN0L
9vzoZaPLDLeZwUICnAD1Y+yCzF9UxLPOue4E7q8XSGZ4dKINzJ7vNKUrrtO1IcvpuW6p69KYzOay
0LIdoCxCBUBMroacFWggeoOrltRFOMrY9BiPjIAU9rx4aF6qR0b5wc2cbZzQDO+VMd4pItiO2hGb
kkAxBisFuvaMDQgczLiyMzoGQrjvzX4gDUynQTNcVFit1H/nsCx9p2RZAPL2rnPrFF1g9lKJDi+Y
J5DAKeO3QfgPHt5gCoM/qWVlhXyDE6dv83N57gBm/9GV/pzJzp9q23qVgfmiJB4Yxu7qoErUgGal
uiNsVrDeVE7gUc9WmEAG6tVZGw9yQk6Id2Xf191DuUBZiLZADFUZW535KFnLxcVVxUkV1icIufKI
iRBjXEq0WSBuXZdcGSGKo0UEOg6QifVCY3mbxkN76iQp8xPDhLgDgnYtVPXrluNPAYHKN0Q0P/a9
+2p48gW0/XzTjlMk2fM0HdEe1XOu9NVgnV1Jjd9OFsjVMech5ZTf2K39EQo6kVFlv6NTUClhvK+6
ctghM/kNO41lZOEWuxz45CYmn2c90QkyVsN75C1RixFKzaJ4cAoZ7my2I6t5XUHeX1lca7twxn6P
jmDdV6LZqJY9ombSGZfM6PO5/kmd3vbZeeLNWNkO5NgmbLChTyUYb3gCezT1O33KuzPzEHgioRq3
fVdvU8Ou9h2KvyDTmYjnS4FsfrdVT3s6hlBZ7QLsiulxjtuslGrbLbY2b/jKVDJgvdX/WB6OmdiN
fdwKhyzx5EGTl8ICPzojbPeZUu5bcSe03Nvr2JUeoJlZu6ztZuhIRL3/ZDz3jyJ5JSfEBiHkHmPk
OzuzxDdtBAJZ5RLGRbIOCKbxMBMst57G5LXOomlDApbt2y6kd82szE0T1H9xdDeYCKodIUTDLtcZ
WE3mZDO8qIN9bgAymIcQBBY2XXsZSTq6fmL4wGoMPLOR0rbbkiSwliYZf4z32cXcOwZjqIoYB792
dIe2DNnmPIXBKuCh9RQR4AjHfudF2xAkJs0uOroAUQOAWV6pemhxwXqrSresV4Gcm0ruS/XARhEO
W6RfqFdI5ON5YN00QDlgXhcNz5nbX3w9r8TjAlk5ImwY16qcTvFkUe2RhLCTXSWfk8z+zvB4Jl3M
BkQnH5f1U450L81TLDXqpZgTy+86dAthxdDIE9BSq7VVFmz6BLi5tDBP7Zg9J02bEWho3NAUbN0a
SNU4GRB6M/lRbifTQeBv4bAO0Wt4LrQjnOv9RWXk2k3VZzfzCIN6W40RlDqCB9F2pXKrabm51sDb
4QVPjm5Zk8cp60c4Y5QNBglGteG9uQPFWVTlz8tnf4U2DJ/AgGrD/RRY5zYJvkSMm9Oj0sWnl6e+
MAGn6VHSb8a2vS/HZlGS99quCrIvOSmMrQCNzDh4sdxkuA+T6uIQ8kuhz5vSeC2VFkNBpd/99Zih
7NX5oZtDpIhvsyT1PCYaWJCp2KWhsC55rw/7oQ7Q5E4Mh0FXSQqURqGcB7PTYezHwVadrH/tevju
jbQehhr+SNoRX2erX0gsGJoHjCQjaDOCOKZXOwVJWekDsa0KLg3ZhVRLMWlNDExPYY/vMy3f2M0T
ZdVHP/AopT9qLYfGxMIm0XdBNjkUk8Me03Zwcfu3eLLlzshtsQp6Cg6tjLxzuhh4dcbmkctR0ipE
p+mE5kGEwVELrQ9sv/i4Eys5sQ3CvMiTuw8dI4L7zfEsDBX4JWP8k93XsDCaMfZ77BGvUgF5RMIe
xZn5RkGjbysy8naTEsab5um3ZmBhlcfk/bWd1jw2ubnl1/4MSCa9WAwB0NCOXBbiyLiwezJb75pZ
kcbGA1oglKHHchIY0dOEeBczZhnZS3ARmXltrNjb6SnMKRTOay9oxsdIg3xOTOwRzXoJxjPZwOtu
gZG7fkX6KPQr/Y3/nQulXYz/Dh//oUMo1TUE5VlYN2pZdZeZ8yU1dTgzJCn5E9HQnlUuHoR5vPz1
xUoT0p9cZngTUuQ7Nnetx5E1xaZ7rl1VrvUGS3g3UCUprBiCY8AyzPl+CvRnPW3KjT6oYldBzV9L
eo0KrPepMdVnbwfxMUr75p7B467tLXnpiizcVXPL2BNrE2lm2CFna3hoCgaiA/uwRr/SCUTU2Jzy
VbsBvmecRaoevMiZL3YIp5QqpAMwMLbbQBc/ruyTy8RzIieOdgOGN1bPYZO1tjqX7GMdbKqXsoIn
qKhJs5nMPmg4445R9wibBG+zBdy0mC2wn+SPHsCvkr82Ypnz8vgH19hLzyT1bIdRCLvCLHcdLOqV
yNxj04btYYy9e5BN1k4JLHjSria/QsPPjTLke9nnhHxzwfezKe5mojZbZ8Z+Wlv6vgfNgsqUKijo
0SrkaejeNNmQb4QtEHKP3LhY8TaNBhzHosDxs4HkyjJlCZKOVe0LD2lWnKj71iuYieWodtPG8kWi
Q/mpw/I4lzsHINrdkJiU30u4etZ38R1S1H7Pm/2a6A2SuuVLHKIubq1m7wI8clrZMwvViQDoueac
6px6stlnqJi20YBCIDIvOXTD9+CAbRZ6K+w6f0aPhY+Hoke0JVguhh/w8t4pZtN9OmV4ehYdTEIf
ARyA2BM+etuaNa0DIPxgBTkr3AqmALmhBNfVipdWvmVIqULUT09tzGMyIusIg/Bzqi5m6j2jOEmZ
sifGhSmn3Gte3ftJre4zN5J342hbty5vrF3jOdBo2w/mns2lKEQMw6P6IQ4zZ6k1eJsUesqKM0Rd
Oq6fO0yiG2aJydlxsa3giZjp4FMC30aI9lih6OkSudE8Te6DwCnWZhvUr5IHG30iCCZFkLotMByW
XXJydC3djzprgzifABDr8b6qSpa0sItWoqo1qnwLbFLcXerOtJiHZw8R2bbrxmj6bZVDS3PsyRcd
JWZjMEXDrcjcZF4idrT5Am2KGVdBKKtmBimIfRbfvWqCo1uF+YsF3wDtibKSBlFWZ4HDAqfHMi/Y
4dQ56s2IGkrw7uW2BLkO1nyrQ/29yR7BQ9z2l1lEDxqb+UO4GE4yDYNST+Cs4eTHuJnfpiXPdhJd
sjPz7A+T82LjuUGxM+25uJgMsFsDxwWJu9Ou1lW+UXPEurEiXt1Q83Qlfu4BrWN7qiHwVKi36DD1
c6XXSAai7imZq1/7vg0IZ0oi+5bUztLj1PWT1Q1fRQzfjdGfA489tEcc9BRD265UvxpFeWvarwKd
E+kfeMjCqEXWpr3wDtOHRciWhGtCrEAbkGvBK30cNMtOHgOGwSl7aYxr5rR2A/tQsYycijJYOTIp
8TzWl9ooo7tK2pdkAcQOfOr85gHDxzYtMYJHzTUAb3niFUbxP+DVruCVal3tHtp0n7WY19r+c/By
Zp3cnzOsnr5i6Rll/cZiCbkm0+6CCL+hOETBV9vzWddDbiQyT5ZFz7Cuq9DAo1qYsD6Rl+JmpRxM
0YvP84XkghoHbxzeOUTZTGQnNVF8zA35BskYCkHZFr7qsl/To3LQAqSZmhne0rmIz45HlRQjvcW/
R94d2iLrIcL8KQr4sEprt5AeUaTJ/EUjdzWZ469iNoDxTGTncA9Es9ssMvY9pCpjiSt5Aqxa4t1n
rN8ES7LB+OG1WCDrbMBlhI8ix5hbNjtHoWbIO5IdKwNDSd/jKk0mDdNid4pRbPF4ncoQa15lEYfX
lS9ebdErfVttnG4rT7yPot6ONDA+J7Dc8hGPdLGFQ4Q61O2TbW0LzqBqxIqDGDOKx03HG7xBnEJ5
S/bOyiZdd8V0LJvq+lQn3rdguL3oC370QWrbcEJ9Hy8uWpMkFWAqMbSpGc6AjCpgCMavPdvHebZ1
sF0j/BrdGXwfgO2wnYj0WJmdmI/udK0MsCcOzg2kfrydDUWV6tnBpMVtwL7l03p0Vbn3bDRuFlCz
wO6eK5T5Jy9vP0vYb+zMt9IuHyjOHDgQcX5hh0llPNPDqkyRCe+ekyRYArWZKeuxvc8yj1GJV5HZ
XS0v/IAmzW4oKdlNZDTabA9nbK1u1FZsGlApVwnp4bAxN0Yvt2HvPIj4nQBh69QNVPnkjbIz7AY/
C+yJot0g5rNHo+vVmCwLT95IAoc8XyYfMkVPI1r7tUvqDyMNtroMzWsy1cFjN3tIu0CRAQRQhZPs
ydPoT0Grf4lFaWnEdvXHDbjxuh11TfFW13Sj6azQfmUexLuMq8L2xn3Uu6zERdv6KW/wxoiyU9on
466xe5txO4MUhvgCWgItAYAoUiH0iGl76JCVwMbmPmqW8NPeNjd//aMZONO9qHRGREGuoVJjv+IW
kPCQ5j823i7q3P4bfxKrUnYWtjAfRt0+afC1e2tqH6VsGRLXp1hVxslQ3sOA5Xbn1EPuAwqFZwGZ
nqkoFQ0DdLsq0w9Bk6FbGwH14NfGr8I1Sv8/70rEtieSPet9mQQBWPTsbOp9sUcov3Ix7e3VRFGt
yms4ewBSmA+uO+UcbRI0/KFl46Lh7JRIFBhscL3k9nM/Ix4z6Ge15jdeCASFuphCHIbYMJ8CBnZH
hNIc9mOhIAiDdLEq92S3PLJTm+R3ELyIEpoVrm3X3U+pox0CgcTIxZc5SBRVtqu7MA3n82iifSV8
fngiAxH4zVSYhwnf+or1KG/MVGmnyAB1pzFWWYBdxlWjiFslzNZ37QJB063TX1/QVBa7qOofY0ty
LDTuhZYXtmC2TIsmNqf/c6/Kf8+I8vT/z2L+L/+ixTrzVaqpjrlrmn/+K9A5/CmXdIb/8A9+0WIB
u+9+6unhh9iW9p//N//nv/2X/90//F8/f/0tT5P6+ae/fbCVKjZxQyzqV/uPuQ/S04Vjktv4X1tV
duXHf/p//Ks/RRLuQEyEbhgERjgSt8W/+1Ok+DuNjYX6ADOMKSyBM+Tf/CmG/XfXsBzPMyScQqKD
xN/+PSzCsP7uurZnsPa0DP4693+UvmzwF6kymxD/Hr7/6W/MPPnJdMd0sYE7kruDaOh/jIow5dAX
dgZQIkHzZ7nTU6AGv/MwTmbkbOU9oiFLL7epp300LEfrIPqECbMwmtXbP7xo/0la5v/lk/nrJ+FH
sW2LfPjldfrHnySDl5liUB/82eK+n63wt+dIW00D9LP/93ey7MVz83/81jxyEomdJWyJWOA/fq/O
sXm6Gav4eITQCsl+Wtm0gDvWNdCeKhIZ3CzHK5GYNDzLEDmzjiki5AvuiddiohZpXfETSCe6juUf
Y5QELEVtfkfuh09pTIkdOtlGEHO60ce43EWTuzeA/uAusYbFqUzA9PJFZWL/L8ydyXLkTJpdX0XW
a6EMszsWrUUEYh7I4ExuYCSTxDzPePo+npKVSiZp0aaNNiz7KzMZZATg+IZ7zwWsZ+y11HBPqJB8
twvGQ0/G8ppmQ2xcSP1+mETgw5r+EkvXuSqNYpo2/T5oUxT3XnV1hrHbpclsH6Tdn5a4I/amGn90
h5zPwrSvhuFFdwanyaGbArlPivwxh1x1HbHfbQj+01Y9MpltkvQfBut/FPVxy/I56REjdq+FXKL7
OHa7l5ml3djC6NHjeUu2T3ljOb0cxrHK2cb35Q1bibyHS5FpyXAq5/FW2e1ww/xj+kWkZbQz9gt6
72bVJO6fSsbRszefBxZwKt+Ru9OwCAEuo1NRaeFpyqeL6CsI35OwiB5AbxCYDDxDQofZv8V47AsB
zQML5lrQHVDfaLo/aYZ4GFxGHGJmymahNnXr57LzsnNbNre5dNOD7tLraAi5bYd5998vk+nI46C+
uKMHlCco9Z1KNRYivVamNMjn4/XbBIDE5DT9um+8cRcOOYh7BAR4p1kLot9ZThrEIcXasDfCBFMk
g1n3qZniizCbXcQqyTdar7kbMJiEsL1OcNMFLb7XPbhztUFBRSazVpX36eQheG+Nxzxi5eUOpWAP
qU8HPWixc6YjAoDWMM5jED2nZVPuEhY8XKL0QFUafzFbP4gwwp7DGokDYAWP5U0TxRnt0ZOQ1Jud
0NhcV9rTVBQYoeLbGEW/QwIKlAjUTaIh4x7zW5qQvVuh6iS25NProbIMtX3DMHFIqwbLfQOGcsL2
aYcjd+rQntC0KGV3gCI6VF4QJPHDwitJ3bzx26NGDQKplIVnFSvX08JkAXFmOg/2ZSXL8KsAhgyH
6jcQRBF46Uvp6l81hQooQ0XVQsJRiAOat5e2QtJUBS1OX3HBuWZxIWWHwKytrebyQkUdf8nhJzOm
79xELsUmbhUI5IrQSkyIXiq6vLDsZ21u33CrgKTAYeFLdn0kLZ2jvLp45fg4DeK6mOk9gVJ/yC18
ZeuIjDRlXy6ir6RykZpq3mYIipn5oHnrieQi/O4614OPH3xtac2nerf+voBwecsML1e5EMUeaRsR
AUaTPJEGcZOz8w3J4QI5e5U104tuhL9i0J50w7o5ffJbEDa4Gtv7OtXnVWJUFqdycV4GLspGJK+L
nNdlhNLCBXjOrIrX2GXueLNjps529NmXDZpGu3kzS3TE3q9ZMZ3gDTZd6AbsWnpgQkbAu+sMuB4i
5zhp8ok1dyXEhRRLxpSDeKqcrFuxWJpTLgEn9OhMcEe3xaumvRop4xnrOanRgYSZ7ccieFJHODaC
7/LP5Oi3IfXuxTEi7gRRfVfYflfOr70UB/VIMevGwlg2XAd2xLrppoyPmzdHT36Zfl4trofUi88D
Vn2mL7Q7RnEmIyFeG733Yn+Uc84aI3iSmgvUkjetttFDIU5EZdGuapNfVMNhtwcWAOgGp/pKuBR7
oAEGzjKXXWPZKghAFq7CkN2AZ7vmbim7/r4ftzmH71VUQX1noH2D5TteNHqLKmGP2RENWv8YnnOH
JeWW4txPpvtQypdh0rdt4z0FTGcT4iJMJrVViCkPbcyvwVwEPwzXTjPJCSSHs7EN7VYEiKms6t5I
uhvgvH1gV6dFoj+IPZiyvS25EAWmkuBkGDoLDNcAJoarcMYcFbVvkhxgUWAj4M3qer7vki3XdmIa
yjtisWScwuGjcLV0o5n5m4SIamXp1wwel+LRvrWCCY0c0vcuzM/86IDKwQDU/VGvoMPBm+N4o1WP
v1p92WHrangVqDB+NTRv6fxIKO1TrvNzgnIEIVlt69j9ytr+kBfD1hvdD03Xfvqp/goM+6nqWc5K
G5GIY6QXWZj3gxju89AJ4ePzYU3q4uIePyKauTW6h32T36cQYNJx1K8qpHfOqG3SLth0cBVWQ1G+
/OfL3f+XQvZf69j/tvspr5/5T/u3nP1nefvfC9p//uf/H9WuZbs2tdD/vdZ97rrP5r/cN59/ftro
X6ve//Ev/+nJlrphkt/sUsd56Ir/WfOKf+ieZVIL2ybTI2n8T0+2pf/DViZtaVuYM4Rj8Y9aaJPR
v/+baf2DpYTOv/Q827CpV/8znmyL1/hfqj+82I5hC91FNM4K5++ff3+S9Re2//5vxn/FGOm5Te8M
Oy7SWXGKzsCFVn37wpxVFCQ1ihAJyg/xXb+scm9YlLgCuZmB2Fes89VZZ/cQxhBzxZNzaQE2M2Dz
4Bj1c3iH/v9ODEb2LEL9akAUTOtLgSZ4a/cuSmE9/tRCYGWBBcnnXz6K/1MFTRTi//aroa00SJES
vLU4z9Wv/i+/Wt+66TA5w7DjVannMaQwdxqZUiKHymvCL6zpblRCqbZ3OGWmndYXycnRiWo3UFUZ
AnmVp4RWEYqrfo6MLavZ6mTUb6YbV2fdBZej2/dN3TLwwBUBF4mSTcsfCVQ9NEra1akvqZJ78Q3t
9WAb86nH5pCyGF6J2o1uM9YdTFiEl7WApw/QM0ZSanm4NWP0UwYtKZ+OcZkrqW0Cx8qRJceY1ctN
AC/sjE6I57dXHSMXF040pzDCKG956ASbKXG9/TQjbNVHcIZ2VXTbuTRXfdEF14C2gqm081nmgLch
7RzGxpMUDTzhgr5/h92NiG6XMoZ9CwoqtzKy3gvIEBrJOdvCFj3MjapFgdXEt2h2yi2iLIKOkVWv
AF+bOyIyllOAAQErpAcIDSV9GBn3xK+iKa2i4Q6ZvN/XdnaqyoZs99FdD3onjhhSgrVrg/mPrb2j
i/i6ZB7wHcJeRz6xDsQ+tr5Q+JWNccym+z9WRFBUitriTD/4LK+uhvM9Z4Ljk3BskloF60Uq6kum
+C+6IsHw9IE9Jp+kYsSgRietp4WQUiqCDCD3j/ovU0bRZRyFmfnLm1HkGVsxaGxFo5ndV10/jFpk
rGU4kF/VmwXzTshGuIrM3i8U1wYzpOEPLmt1fFtfJXegSuvdWsECi6M6saOeVhg7+lUelez/46sF
Qsd08rsJpI5AVwXMTFekHWsqLpouujURQ1ACwfE4IVwe5OjPLCaQS4LsSRW7B/sFSSnQfGawPiR0
s2gE9ONNBJsYtWzOcOCGY0G9HIdD4pvochHEjcUThorTrOhBoRl8MG1rzpaNU3aSoXNyJyeBGzl+
ZB1u7nap7yaARI0iEyUginDxHkzgrSTdOGubcn6VKp7RVC43sXQH0rrPliIedaCP4J1STWdkLHjO
tkxSCLn1fQwsKU3IwnYko0UwSiY4pWbBLgr0ap+ydMMqwDRurCnI8DaYunnBKAHRDTqTVJwmUTMp
9b410QBhiOSLKAtmw04ZbjtFeWJ+sJ43Xg27pwQChaTz3VVUKA88lOFyhHVMfmXKpojpKbsGRZMq
C4vlp7MraERwW2UFUQ7FwQJBVYKiSvHWMc0g7gOxQwisqjUmsOLQZpNr1TRnFgKX1nyIAFxZgK5c
t2nXsM0umj1s6kTAgyAXKdIObYQJGWtcuLEGAn2SNH6eFUkrZX+EHOi8tP21CRgA0Owwuku+FkXh
woJ6KBSXi4SMGVcKOjXm3RRyIYthfl7fTeGbo/hKkS2H4CQjgF+NIn+ZpDGvSGx/7YCCpS10MEdx
wsxYUIu3R7sKLqjpHjTtVOpwxUoWfw4jzKgMTmYhX/k8OfwQVioiWT/iDJpI4R2AlcWKWmairyqx
aKM7RZQgzm79EucdUkuOU0U9I4z3wM951OsGtQ/qCO6ZfdmkR62CmLaATnMiPIZ6RhgiUDU7xuNt
gFnL5UqfRswK5DCZIvedoroXYNmK9q5QlDZhzh+jR9jgAMCNS4yp+YikxMES7sPKBkbHHIq7JnrN
5vHSLM2u5NvPoOHYep8bJh2Ou8kVOY6Nx7JpoWzOKcQsRZdzbPmRFmEHtuCjAT+HC+AOf+zvDJdO
U4C6NLIOFcQ6pFXk9vQzDLu7qM3eU5ZBzWupMHeWAt5BGqOWTvqLrne7SM80nCA966FCY8zNz0jK
PdkBEQI0XM9fuvk2wdbToDDJ0b4nFZj1F3tV123DTY/vZC0t744x76M5ims5k4dJaIDOMWb+kdie
4EfCuSPcLhtyLt2gxBdEzPh61ixw9qFYHvUWU9sAa62MEtCUhpZsFggdS4nozJWEjUT63nDiV3DZ
uAq04bGgLGcSrd36pfvOOwxQaWm9YyH6YKUs1qXQdNAeYgeVAd8iMHNgjAsa1yZOfVcOjBLwBgLO
lmzBefi5Lf9ZKEgiY2lr48FNnBVAsVckRYVUTFjgRCGQxYhWy8/Y1FPi+rLmrmYHeZuLBBIbsO0g
R2vSRGwUPAVwdFpQjgVMx/zkKMCjbo8Drs/vtkpcv8KLvRtqcA2WhBdSs1msgeY8joRpRx6sVNDJ
I4P+HTg8Tt7BOWpac5xocwBkQuJrIVAuISxK6IDbFjhlFGLuHoZ3fsn+kip+ZdpAsmwV01IHbjkp
ymVQydfZIDamKFLK8/6tUkRMxD5XzQ2ODBWqL6f9MEBnGoqhGTfw14cu+ZjQasAjR6Mo426jjd0h
ytvhaDfOzc4swI4Kc0Lnzy3TO9VuMIP2/PcLw75NjIxm1zKhYQrH7EBRPw3F//QUCbRUTFBb0UEn
abXrOiaSvWthXTbtxrEJV4pn7GTYoEBYNjbuxhZ5T5apC8y7q6E889Arvk3FJ/Xi/h5PXr6KFLvU
4cqMRR0Ta8PH6zkQZAGdGop4ymZ1nXMWFj1qr4Z1Wk/oeR1BzEtH70VnEIFReFnbAG04/66uIqsy
zeeBqGirs+KujgBYUTIUe7ZsryVo1lExWsOu/ITTSS3mHm1FcZ0FPNdWQHYF2HH2QL1GivmKww6u
jOLAOooIayg2bDhBiU0kvNgIcGypCLKRYsnCgIASlw/IseRTBG52VNxZF5UpsFbvNxphZxnQaevh
IP/CaqHWsqQz/UWBbAuFtF0U3Fb7zDyeuAwgIaCwmehdI2H/n19mDSUufqWHFFKuqZC5qOFY5EHR
baHpSoXVLRVgN1ciWVtBd1OF3/Xg8A4sQlB0E2qkEL319FQrZK+r4L3sxSNYvnGloL4jeF8M0TfX
AvirT6B/KW9f4vGQKCSwAqWio9mZChYMVlUAj+tJUAIk3EAUrioEP1pO8guRxsGQBQfX0razwhCP
CkjsKjTxUm+kQhU3PGQYuX5XysjvKZxxOOp+69BaV+MjvH6wiAp93CkIsgkNeXB4y10FSLZyLd/F
Oshk6ta0D49OOqLTdFyfUxtUuOThWJJH/ejJ+iZtpZOq0tugDdY1RC7BqNS97xWy2ck82OEZw5xs
trdsflZNyvh2jBFNV9aF/L1NoBDQEw5hwhXbdeQ6+yUIUEe4yS6XEqq1M23Z4Ju4NekSYEv3yDa3
Ce6CLqJ4gpxA3isgamKfLtD6wrOtINWeuZc20GonB19NkhD5mxCt7b9o6wHIdaBw15UCX88Kgd0q
GLausNhkOEtgNqCyLQXNjhQ+O4WjbXXDq6fA2gBzKYBsWKO+ELhiGoeNNSDuHCI31ItNX8XI7+zh
QTfD4QGVkcM4oMFf2U0QQ+si2nokjZyS6h3fiLXTQ1FfLQQh25B39YbjheV5MmBpkdw6yWT+VE10
BhMu/d6yuELqSa7xHKMpUltAsoany8IPts/l8IHJOQME888/0HROIMa9B9AakFg4pZe83C6zoz1Y
CnruKPy5q0Do6YTx1SOWZp0YhE8R8vUcw01vFUCdA9G5ggcrCP4JYBaBWc8UcB2vfq0cSMceBCOO
LWZ/Cs/eKlC7A7GdIeD07sBwH2C5s8knXUUH7256DxZi2CtW62lAqAH5ql6VcNyhto4fUAseKNE/
0bt/mbDjZYRwOYAm3wCVZ83KaZihM4M3v7TiJyTKaVVjSoe7y7EcnZxeoLXLeBPZeh6gncL68/pt
aEK1FNbH4jo3YtrQwM4g722NMsugk1Yw/Nh9jLHE+B2UfDLTFFpFh5ZZXjsF0g8UUp+Wea134XP0
3l6Cca9B3pcWMVLRjKuJZ6P2Rn5xhiET2dUwt08wlTSF8NcTFKX5X6w/mGg3nDZ1QRJ2WASb7G8E
AMIhJm0tDq7kNWSVsFgIYuom+RZBeTdZwQ6AMB+4ihYwyRgYU8IGiBZ6dbQebav+7rDwjVQsAfsp
v1dBBa2KLMBRfTeqEIOwJs4AP0x46Eg4SFXSwd/Ig9HFBl5ITJoZs2qrtZieV4QkpECQOxWbUKsA
hYUkhYSsgssQEqXUauTKIIamcFXRC6G3/FoqjCFTsQy5CmjQ9PSr6F9rFdyQ8Jt5Rk2UA8Pzqs53
gBpyZJpGujXhpfBpZeuZpoZsR/7O0N9xnY6IBTaOllBH8XCoCzSoTa1PZ55YZB3W7AqKbCJaNXFr
pKwum/2EADQr6YHG9Il9Hwpz08ZBfB2r9tnBUtivR9vno7/X6yHcpwPwj9kNkOC77zD4bOIHLAx/
8EOlH48oz7E32OgnWSaGIZNpcCNCHrM2uogCdlFjLTQKJVTxZePmg7eirLozNEzOCWxGTnofvg2A
65/RXEFbngiqrXjblsxkdabRmmgto3/ybYrgDyKPhRUOBph++Vn07hnj7acuZrxEyhf/bTTIC9u+
e7RyaouF+fsqKxGce4wY6kTpufPkipzC9xbrXFs2+RfRE6mfydoyu5vjjddBohYdw6BRGWcqg89l
Mk6+lbfAw8R3sa7G5rY0ICurnJC0BHEfwV8TKrogJdosotNzERjhjCdZpSbft5y3IsqgsiAp3dWA
oCszupQZ2jOr0yQgddfd61W6l2EFubOqN5zkOED1XAB7MBjHZGRBliN1btp909tlaLW7ecvLhSu2
mUDkSgqXJGb47JrTa2nXeIVv+DkRVg0DKq6wLbYkFeHtZbiM4bw/am5FOGnlhD70KXAVedjgGOQ8
AZJ5gWmx5m0MkG6nX0NjHBLTRq8zOwckXW+5BnuLhpTbzzwAOiJjyrLu7BpexNTsgrJgdovNf1j2
mEsGJWi58wJ4MjWwwnqsX7GsEeumKq1Zv/TqEINH8dbpeNLJW9XXmhG+BN5vLbSNN9Pg9Brhnm0c
4eOscX3K+XEOcI5McIVXo0vWJRMGf+D2NpmgkUpZg8oHYCSaBW3dQIuYXnrCDnvSsCybFYXsK2Cj
PRn0YXGxtWY7JiENnTuxrOCODosafM60Q4ryFNpZf04INgoj8hPjqccMZ5na2RBkn7C7Kgv6H1qT
M2WtkZvgaByIPSXbAhfGr5dvg7Rp7vRwhKsA72vdTDhL7SjehmFKInRIjslQ0m8IG03vkkBG16CS
91UG+WpZkLrFEO219mLM8WU2upnJY33vWAZrMZGh7fJ4+upxjHm6xOZaGFlwJ/IJv8v8UIeVcasz
l3IrKB+iKX+SXv49Ub2dvUaTvmEvTwsOg23T4Y6qhfteIYg7miasP9uDybpkFlk/2LLkbOyBKKR+
Q0WN6BqAN17FsKslir0IwWPRHNSlDjMx2SOiJwovIksHoEpyKoQCMoz1Yyv6X6plrE5h3TzCAfPd
ogbhRRbN1XGPPBLFCavvizPO7W5uStTQmbP1BEVnaY6LvwzejVsjgiTjLCf0odYBkfzWbeSlUea+
plq+Fm0K1mkVhBte3rDK57wlXnfq2trXCOViFQPn0E49niJEZxWAXOowOxS1RViTjWTRXMAg2yMs
LfFILul3ZJHsVOsMKESR/vEwxT7Ai/jUe11/Rg1UboMRsalbJ8vV5pf142YhdLRxUbUL/TOLuu5s
kAjOM70+1OjRV2AStQNjm3sMTPNdaL+SFKBYyQZdxJiymM6NeZ8IlM253nRvjVU/UKLcNy2yryyR
w80ZF22FYBRbxAJrPWzSveUlV6Lk4UfFyiGM5b2XxW1u6NBxcDyOY4xrDxZPQRThKtLMFPptmpzS
8SknY5A0j70VN49liTqqxXSFgWzrAKljhjJkjFeL54G/AwIwQ63Z2++AvIsf5oibBmXsCYXbuGmn
5Hmco46DYMPLUcn0jrVOTdM6FBkV+IJWm3gOMoMYIOoG0WWE5jkkPseLLzPzxYiwpDLy2rhZtmLE
hzkBkcRdqo3slEGXMLaq2A+ZaLo0ixiKxn0KGWmvIVy7l8ko15hrtmON+Bh2F1OUfi53sSCWEoSg
zOwTZPXKt5as9nVmeyu8XC9zg+MqQ85KiGQTbMl3wwlxLMs5OXlefRlS8YZAfhfbxBkgb63C4q4L
q1Nj9A9wOB5S2q4J7rmX7SeD7JS+vg95sLTasNUW/asUUwXfATsV4ksmWvk3Xr6j5jTDKjeTfQmO
C6ZdepoxSjXDvey5LfgnVCz5DwUSmzIPqjfzcVxejJ57eg4+FDRzWdndVya+HNvNP3H7P9FHY1ED
hFyWzQWPug9WjazcxQbnX0ILd0xwcoG744/F2mX2DfFr76bFu6IdaUzRdjGWdc2cOfnSM2tE7mj7
zm7JbKdonoljSJE6Wh6RCS7nNPrmrUm/l/Auxg6MZuALuXdIdVTv1sQDSa0EACM98x7f0dJKvgEl
MwhXnqeavMwsGyZoC5bWr8spJpdglKiYB8EmoHjRcv3JKA1jJbqTmVdHywRh4XgddZ7Rvwtd+5P0
zo+LVHWSHWfQuy05gtN2fGvJflycwOME6sMd1oKv0YQ1ZxyCgfdnyY/dXG01WHaZ0FYJug+n4xwe
cvvSp2a22nk0/cBgItk/mNPO6IxtaEOBSnN5y4ecxgpoNzsuJnFMPn9bfW4Y8oq1LF9sg1heT74O
lXuyLEJNBR3huu70G6fbU4u1o2Phi0Dt3kUpRkHbIqQtSf/jeUJ3jqXBU0/d2ij/BNA8fOSmsNrV
2INgj5QCtW/9uRjvzDa5emXR7G2EXBlyyiCKX+qa4a9kr8Xm3Ww3GuRXWwcpP2TTYyrt7wT3dVx6
566rXhMGs1wTZ3Bwp54wb2Gkf2w5wGetqxsr+FcRYSKqh3stGn/qur7w6PkdRBoDzaP5LM4VW+vt
4qHup5vbcRUyP0FRrY5Iy+sqX4/GOycrmXJO/T7Tyhfwd1x8GoHus5mBhbNj9sjiwwOr4+f6Ap48
DU8B++igCgHdpG4MlowUgHIpcTj1zINh3b71afCTdVBukbdi0SuFQ7Cejlu8a7Y6RSloyHafCuCn
bY/otbjEWDZOVj3Yfo3TXBPvbdePp0ZAnIpgznsiWDAJRKS05O5HP1K+ODI5tBLkTdVNR2RiHJOV
tvUSrYa3puEqjWaGGnG7cefuFd0NVXnWwkxM0k3NZbrQQap25a3vGrJLXNQoqdTzTe0REi3lAiO1
kxjWiNnaYIJ6SPL60BbpK3DfGVMpgJBJgSdJmCdDfobLkykSVo/ZyKmq9Zh07tnLKTlMsBq1R5ml
9aF9rKpK3xl9qh1GhyNDtOlR6hp3VUlqHEodf8pCewt8tz+OC8iPwCBVepynixEF/tSWJ0tr8/ci
XR5n7ylJdFzMiMSY+AzdViNH1EcbSKmo3GbWJ+qrmDFDwCjJgvNsiBG4ZPbmIaEL8AeH1Uiugp7+
AI47dTmNofM616UHPrEkC0KfTn1pvNikRa+bkhuyrNr95PnMP0BWBDGhBg0x0MEI5FfPPZ9c2vTE
aOe6GLYFnXVizOC6BBUWzkcZ8pRpyvFzZCYsbM5Rh3iP3phifx6/zBojpjt/FdMCiF9Lj6armeu4
wTpZBEu+GTX7xxmg8kt/mT392tTm5FezCDhhhUkLVz3GXvinbE0e0aV+F00YSNKJpESEdca2gp+F
dFvmu8JkMhJ1ZLDCEV1JkYYvg23/Dvl0oq13Lwh7tu5sMzVM0YYFAz9oRQGANw+Skwzy6RCm2VF2
SXIvy/hT5KB7ME+BtaUDj8z4EXeYvmPJWh9HxoMI2hoeStG8MbTgbA7lk9sgdCp1mQLJgFkCmosB
ZpD5UQS2U3U6gINIAmrmH54QVwZJOVeS1/pLX+e4NjkWKBYMbWS+qIxKQ6tvCjQ0G83OE6i5lTwu
OoPPWJMbfdJin/wjfVeP1KXGUsfEmbZ3XdpbOxPqoJ5V1zFsvkJUQjSU0V03/iHaQL6kI8q8tT4y
omawNkK1WA4uTEh4KMXRtRCg1bX9SaInQ3KKj70zNUfQJdW9jUQoCoy3IktcQCujwdaXCkjvARqk
JDl/0yzUxHAzP670bZanEQ98gLJjZ0z7pi4UmmI5lFZhE9wU+ZNdtFdczHhiIblE1PmwGearCmEV
LJzfKb1dPBCwu4dB0EtlynYxSergANoto4ELoUHDpaXPXy9DTvZgpuOVKbprFMT7eSmyR0CoPMhg
KmymCPYywYC7IdWBwUby18UU15vyxYsr79ArGXlfNfc0nPdpileitqd6R0FeMSlpR/vOZNNzj6ye
IU3PKo+bhZC5AmaBluTfXl8lp7z0qu2geUf0Oj3Dte4hDSZsghpZyEwHe7aWjuy+4zZzT/hg4Z33
HkdNYOvrDEEzziuVLZUOvjcFzWZeohdk9eZmzuc/RcIisOQsP1a01hRcQAW8Mnq06pG/zoNlnUg0
qBGrCte0EI0GNAEO9UvAXGpN/je73iahXKgJjjJs4utoOvUxEgRjTuO6HtUSWO3DagjS6wys+zFu
cHUYaCmoDdPlJouR0h7MexYzuO2SON20OkI8sEOXDLw3DvSIFR0zow6mJo4RtFQOO5Z1LsoN0gqY
yqIhdWeoQe7arcMVReqmG3igzz4XFLh9T+pOL62LFfYLq6Fy2VQd5WakX20rive0YkwzLSC+PVED
mzx/ylATJxnc6sCDKd0gSFilrAWHidq0SIebByfwIamEMj7rT0Ne6oeeuJEdYblspUzjWaFCCbH5
FVNPhEeh3YYS73Bn6C+em3q7gG8oRQZBdJnWQ1p36zxr3oDDXYjrSp7BWK6kVfWPTZwERwMjFdHp
4Cm1XnuB0iVPXcH6q+NJ+ebCnUaDldwMpBw7TbPrB9cM5cl2nGesdNTjyyvg77OQLhkx1Z9s0rmt
nNsM1ZMEFWaXztWhRFjrtnXjfy96pPnInJkLFB1JScQzliZ5liZvelkSCWUy1YUu/eDU3v0Y7MCQ
vmkJIDXo8PBj6zfb7ihFLfkngtW4Invz2GgwcAZHHCQn+0opEvFsvsXxn6AvP+PwN+zGYkeTcbYb
cUXg9zYWGwOYGQFx6DT48F9Nx3tIPGSdy4wdK6bJtIybHIxjEwGBx9eMjhf9GJ60U6wgwlb8K5fq
zWMLTofz2yzRr8UBE7DLBQGavLctZbF4MxJ39xvrjGwd/jYwUeknjf5rJNNBn9KjcOdPr3IPqaV0
e2S+0wA9jTDwGs88mDFC5G56nD7aMidcF6LeamzuzQoymMrgLcH+siMHUjCWUMJ5nvD/em38TYo6
QAsdNSCKiQHiTdQQUxUQ64KH5ITBDdp/sDSXUi+ie69hxqRd2VSZX2x5L2wh7JdgTn7nDh2Il1Ab
DbXTXbLRqdcOodKxliAbqOfdSFguUgvdfhwioCAmHDCIke2aaEzXR1hJl1wAQE4M1ziDTd0UBrrB
iQZtSz/c3jGhIMFOMMCVyylfMhy/9RdS8vol0pz7cXl32lqHNzOXfh+jd6jGElewUfg9rJXHCnI/
Wz+gPpmZOsxUq+wSxmOxh6j5BQRw3sAeTK5tOJwFsyUMzMYZT2b7ZHDyrMhkg1lSxfDESY4gBL2h
zfNQ+hK2jP2+0zcOUImtG8rP0Kw0UOgutAVW76mNTFr0zBgmMi0kUJ31hHZiy8/tHMkRXS1aauLY
brYdyl0/tat9h4gAxSyL97mcqqMbQS4KB3m3jDbxNu64rHPuXr9us53JGjVkMuI3+GQhjtVXaL6Y
pvAV4Khrt21gTke9+9BM/buJcsfX8y45lTieCQYKfJvB4cOQ2C/hiBy+b44Veaw7qBwsNqvokIuW
H4vz27eEE6wGPdhyuYKm8cZgY4Q1vK1ordFSfNaGj5sgB6bstbsBTwFT4IVSL2fhY+eji7ORzpQU
jmGfc3LBBnUunZunT45VH7MpS/ZunsGin+I3t/plTDtCZ9CR1CyIkOOqZwGkupQRrnRuhPsQqgGr
FOdOJhwjSVgyV6BPHgRwtHh6N4MJjdAso1MKehBgx9lTSpdpiZf7uNIfedYgoCk0bUdWGErzvBGH
UYzAgRdhc9uOu8HrjGMvaCYDFwOzZnUnoPXNtp7wDheM6mGvGZuIRu5gLlXNWK102P+Rs1A0Ru4D
AUlYRXkBgeqhcYEHhztoHbXe8m6qDEzbkN2VYqI4TCa9oFOETD0pVTLPnc9mhEHYni3xgsC/2Ed1
Fawb7qzUKfWPqWMM3g/Lz5DMt24AQsP24dwDFHlq5RBRZYoUszmroqQnshpwiTnEsT+MDsH0ofvV
j/z7plHFWoz+QX1Z3Il1Y3aLZ/nsRVifzZjZh5z3I1K5Neur59FBID5nRH/3Eh6YMmHCRE2yys/q
sF9HoYdFbREIlZdSCbcfg2CiUEprRg8M40A8Te9ME+g3+IaeECNqH69/nGvnbDmFj9l0eneVUmK2
fzMaV+wMCDCMj2Cy3JfRtdgJWgfNaZet64FGLrFio0JoavFbBsTeJAMFCntfpNUPSeQhHRrKP0VL
sklVe9z3Y0GWXsXcIH0sRcxQbTkEyG22S0MmiBOMAdyw5sYTDUh1NdALI6k6sGC9DKwZj3bfveUV
gFFNCQqFrJ4qO8q2gK8Jd7IBtHbVT2jVB61ww/UC+mhrdsN9ijXxLiJwGTc6aRaAVzfE+AH6MCHt
yh9oEvgBsRQS6kBmq4xuugrI48jkAC17Hm/5F6T826TjCJ0Zl52nDOTv7Msicc4yGm44zE+GG7yR
JpOv8yLac8UQT8BzS+nR2dY69m2U3tGmxGQzEoASAg9B1lWx7ubQ8gHskrcjTkY+Qw4w2CHyQMhW
i8EaCr2aMFkUT04eqrVvt9YERsTeZkmSCBYP85GHQJmsouiniDqAC7iBrIhLiJ3JfxB1JsttI1sQ
/SJEYB62JMCZkqjBGjYI2ZYxA1WFwvj177A3b9GO6IiOtmwShbp5M0+aLHCIkW69vPrd1226cVej
i1dhzKRTOhf7jsGo5NOXYwx+sTdNigeQjBlUKnsXGgwOZQplLGNiH8T4aPYp5TGlKnZi4hkS3fh9
j+NI8Q4zDgej5+xqk/Q+NEDoyU7kbpVyOHmoJ1+8uooh07vb2mtvax3+IV/7S8+badIrYJM52q8T
5wtfP64ACyYKZY1f5ISXJM1g+VQ2i3aC/c9GyXvLsO+dF0reIrB0GzfI2Ias7j8nRxHEyMj9UBm4
nLhjTa390BYfY95clHWepXwR07JydUR6KBkJyVpD867hPXkL+dSBmdjiG7RxDes7MLt3R3zXHc+r
3xCeJsOy7SQpJGdiaTV+lN5IiLjEQmEKf5erjBxV9klpI17JVCg+Yqt9mRxaZoEY4rXU6jgt1otn
Zh8446YYSsxQteNGKwrN2N3dFE7GjdWqmlp13ixFxkutCkDglJ+6jGgV3WOgYSsl1D89CbIzKgM7
NYCkcsgbYejcDySvph7uRGQPIjERgpqFS3PrOGJfL+bOqtnFKK2Qpv0vFnL/HBYTm7Jkx5AFwe8s
aNiUmQ/1Op4GD6i8oJRxO7NpRrJgYFjXF/ouNz0Igy3LFnCXaBsyh1VA2n1LLY27MTJuWqCnQECZ
0bkvrT/GGn30zLtrH6pNlGGuHIfqufbcj85ECxw6rBjLhVqBl2ANfUTJaAUBYLzbC5mZGlAg9AEE
Boy8fvY9CZ4aQstHv3qtuvkDe6294/sWV6lGUlwVB/BIGg8zRoESfZgVF8VhBYpZ+P4HW94SffiR
HzQ2sogr7mrto0z8WagHTKiI8aslwcbGS95v8TLP/XvjANDRw3iOxgW0CJu4BVhCqt2LzvvPCb/u
4q0PPB7dhjr3bMZXhyuQZYzcN4F+73O+yjaNCtb6m8/yzfAK/TD03u8GTfVYlB2XVk3WqNBOPGLr
jln3xBXAxsrR3GPq4AFhmulcjtFjjwW3Yh1uN91CjIStJLlvHDDpcVkzvWNKvfS0LTW174EsaHki
55thhnOcwT5War6ExvBc+TC1VOkl7bhkT8HUsC6CX1qJfwjxtA8hB1xw83pSTaAxLEqrOkAs4Uy4
PMMjVKXFdfDCf8CTiEJGNwOY8dYUQNi4EuO77vCBhXZ1ssb6KwhgaRlckLWVg02qWXutd4+n81RN
69uUjQT97Fcn7Mp4QP5fqRqOeeStu4/h5BRe4hh0TY26HneVsP9MuHnqzM9uM6AucmngnrLhVpr+
U60pikDm21TltF8FKc+lAEgpHBetqT715IF4yKoSCymNGNw4Uy6fF+o2qSbMBcMUmS6Z5Lj1uHHk
h2YYt9Varqe8YDwvihu+r+/ZGx/dBlAli0YbzQGyBFlApHwCRhwt7HcSgPVwFnBiQFO/Zn9Hp/vb
y7589PP8b6DFGT8efGi3+gxV+DopTn5jqaj+nZZzhpxWCAvdkrpprz1UjuXt2c88WyvbN28uLtlI
rweXzoU7PkYkj6JWhSzqmzCzstCJQ2YX5eGPdKmMPrZqfZ/T/ndePhmR9brYGeCglJNqubu0vfpS
I2OScP9DicR/M0+56Xk5UrUw7oDBdDFP0k+OixCh/BHqg8Gi3DxMRvEliXFWMph3LkLtuFRP3RQA
QFvsXemCl7T1hEUWoT4B8JjqeT8NOHZ6XyJl9Xfex8T2eRzMi2mnRzNoP/LMVXyjiRL5UROvKaTf
sJhP4xh9jFWy8t4nQuGtezHT4wrw0XCduK6A8Oq8eoc0QgNSe10L6A6hoHdynfqEXDwtyqwXwxYa
2SL7XckCZttGzamHqrblvwZ8l35h2ekxW8Th7D4acr13tXePd66e8p/cjNOP/8dVSKyeAEeYHLR+
rQZsAkrYr7V6i3odhxFwc539cqpoPjW0hsdZjwk8a1RLWVT5xD0XuPk6O+9uz/aOhb0SinItyjW3
g9maJyXFc+GkyzX0dDI0ff/dDiauH5+gXMhRsytCtewayX617WyW2a6w4axEoDPcNjiT8Zxjrh1s
5+++lsBHdyVS56KC5MMXe9JDu0KUJMB8yvTMnA6lN0lVxfIb1PN26DobuxyvXNf2T7L1MOpK3e1M
p53Obu/+6mlDoIxotl4c9WWaJXN9xJkQKZO3RpaLHfsUvL8iv/lUbVI/tu57J+O8a1f7PBRzfk5p
U3GmU+0WxrXrqlOBESJ2BXZMnEYuLPIgJWHRZRfUqC8sPusrpbIs9q2uh0YNJtr2afdirJYPY2qT
fHaYsBqhEa5ygFJjQ7JnVuUFAipX7oZMomlyTVkM9xO4ZnopIIb1KYldKcT4vJbcUQGpJtSUM+TU
nn/Bg8n4bufVbmGRuEfn6A+5r6wXxgVu5O2/akJTuIOy+0JQmhRYt2nCKm4NIt9Ko71Yntkd+YDy
ayM6vrRmdlqb4dmhYOhAjujVz1EmsrDHHdVgJyBDUJw7T1zDaGIEI98BG31CS7aqKKFqI3yh8je5
uyEmlta8NIc48hYehYEKOQ7vnd++tAulcsXA7XtFyc7wIbfMGZEzv3vKwc4Wc4V9CNLm05mZzlat
/4UOJh7zX53mJzUQCpgDHhY4Nf69Pe2KbwiPMoRBwyRc0df5ubBOfD1ZfBTMGDM2/40ehg/mz21o
CG6UUl0rI/vnO+GFcCMDacYLMJipEyhs9613aYjNdgH94CBlaACxJ0qDeElRuGM/FHhRSUOQRwyA
Hwef44q5qOgIevTWCbxUyTJnOFdhSSe7Wy0wKqHPTu1Xt2X2QTFKtEfgJ/1VknoksPkRVtrDK8cL
kqrv8E8GJMPp0mOt4Yreyf3W+u0PBDM78QOv6zgL5bADLag4Wlxr21I1yI8Dh8biih2CWULCw8JZ
VtERpn+fVDXbAW35bFl7o5ziiAYBhMRm2s7GuJ6JiettX/cCwbD/mRtPxMWYuUwsEE8Snbn+dbCk
uZ/y+i+LLif1jxGdFteOXsPIG6DMDMSxGfTCpA/TqyooQwInEQfNaF9H0w13PG3w0xYv6WVhvZav
TEfhHcyPSMSmMXYM89UW/8H7SuwlFu1KaQQPTQkzBqGNB054A9F747Wa2uzi0xmxxd8PV7Cs/IMH
nJrKQ25woSneq3F1doC93qXp/fXvXgvt5QouK2UK6s5UogAg0e7fgCKaT89aqckUuJ4FGXf2vsFn
qI36ZAdyioeqxoSKDWieg7+ma+YxTTx/ujCfnqqw+smzMduHY4Zp0qyms3fspSxuaDz7SkfW1cgz
iw2NxoAaTGC0Ouu9oDth053duS0fWkDoD5PRG1dM1oRj5JUOPsoVxRktt7xKP1M8lvTI96VORt+n
NDASB+E6z/xxmcoUin8XTBdwrHrr9+OHg8zZG9Vt9sy3qYK0WhqA+NqKkwRzxdHr5nipH4IwODRt
9ja2j/2S7koxMar1tdgQJtQmCYw8wJEWymnr52wHAY+9ZSkX7pzr4La6e1i9+nQv0cxaIHZYWZ8s
VipsSniyveCMD3PrLQVLYVG8ZpA2oUlF7xmGNt1Zf7hRNTvbiF40hn/aRjrJi7w4Wx2QtznKr9Oo
KR4TDKbDCuM3KEAEmc0zfLSvSsocWQEn3UI2JTeINQFjO1C78C+zRpIAMO8rSdKJTQqJD/azLgQ4
OeXXUfpI8fgDD4HsHuwGHzrJjXN9s+5gMwbPBiBcnjTgGOKxWMvYs8BpMo46UfrL870wTiNq1riI
hehkW8ckFWF1jbGTgHVskw1zh0MAAyjRB3NLN5zct1n3bqQhCbx2Sg8t4s/9irvVxs8CyijOSN9x
YNyD/7U+hkWHtWuMG7cF+Krvv4zsn/ucH4eU4NZlbsKWzZTYF3h9/JGG6A7I+TRFYn9P6yV6xpPq
Re13PxHXnlrMSllInYjQ6i1fqYaNCm8fVFj88UZmu3GqPycqSbH38adEjPiC3M0QtkYbDVwaFOYZ
qAQoiOAVPjFBo9p6WnyuUZqEwsoap3xYmQk22s39/ZDVv4vlL/EWKsAl90J6grDL0R6ce0fdUN5a
V+6PNagrwbqaTVfD/mTKng1YbQdpydM446ssdiPaPipfpPmSdYSrc/sWuA0mwFQknGNcU2eLg3lY
8a9my+NIwmTDTAfuBdEzYue4l4P49C2+cVzPfrzZ+3LdietElb3hiMIwRe6QtnHMwznmfBBUp/s/
7FeIQYGhSxUbw27CEJuBEaBDKzWYHgZ+BvYWxm4uaSknO8tpqWOsgebG9cNLoSh8VRAUtshN26Ke
2wuXZcbJ4O61dINnJpDvGtDRLmummBskmjq3lU7j73JkHcPcgrWE67WeoPiPzos5tCciMWdrsb8H
13gY7jpkeLLLAjP47BwGCIebvhpuFmMqyuGj17sHnqrt4rs7i9eX5gXYGx0LdxdDARs0ei7wpZju
ep6AOyj7Vzra3MNoL96YxooEUduHqjyB9/uzeGl5nVOzpLjH4M1KOGIriienvwuGS0djDeBGcopL
7AzkN+m+LLYalh0LGJO+vmC5i2jectbU+m5SeTRNl4JOm7tIg9A8+O96jhI2vzvhh/TQNAuof+zN
LSZfzHv3KzW1nTZjidnzrgi4GRbF3nMzExNb8YWZ5jnqBgawetiyv2iB8NkO1BkDz2aYWFqtcGgo
fi/CIx4KFP/wRkB7qwzQM0Z/J/6H3l63FCAHLQBW/TeQLPwArThQjbknS/xi3RctXVALHRPbZoss
sQ7UqgDT7VLacIQE1TyDU+BvbZrisLd/Ox1/eZ38TTku2Mx82aoJrVaPfFOGXPB1l5daiXc7m549
k1fKrKgbiMwbROGXAKnQbqi77JAnQVvEWjLXWQKvrlm/BqND/q6m5a1vzMSchDwoHCMIdYDq5WJs
tBTHsezDPT59Go38HOu/m+lnQyIJK8tcD/C21w0tD6eiCbMdpVIeuBc4xHI0f/VreJlqeNlchneG
cw+lZf1rp9L3XNongn2nVvkXxsJ3XXc0AreJTP1TMdkvFUvzMhMMZPUvn+uJk37kueiPtVy5WdV4
UAwQmwwyAObHV3C2b/mSP+dN9rUEAgGwxG4m4TzAH/Ld+W9KZUthRSfMLREAV1bCkTGeLFaRaeag
BU68y0HSYi36Xdc6ESg+PO/9GWwkijMKYUNVkt9QrWg3lXdym+Ep4tPesxlnnjKBoFj+GpxYw54J
QVWnwZnK7eoimlBfZsR+h10okEu5G6RZ7Gl3mxNp+CdNg/BT0Ylk9r2veayDkx/gB0bo4b0gGi7R
I8aSdpkvlMUI7vpFvbMc49Ron/4hBpN4/pJufhMa11wEMtCQN5kBQKYJCS6jAX9P/ZBvIZNCg5Jt
aj7nDq1rlmpP/ywKZLAcKfR7G203fugAXr906SM5pxpTkNFs7RQn1mIhiZ0X2Lu7SKKwNuuIm4V3
1kaQq1o7Am937raeuq20gl0E3Jfpq4tIgRtvs8tOv7W/6Dt5lo39XgZ8Eygex/DBaRsNU7zOrLfg
Ra1W0CT+1OW7ovM+C6rRcMrhJCzzCqm/83ZBgIeWBQlqXckR1NO16eWwbyIYRetK2sVUcc+NcitL
bml5Nb6L+31biwmrNGO1hwCLjSxNaW0JyTvc+fp4weg3jUMKRS9yGdODbQYvqZcfh5VaeuBodwC8
SjLjlOYDI8nIw9eQNCMCKKHNzB74++kYzsala1Lx6OD13OcrZ3qUnyw3q/YTzo0YhfAqNSUd5oJD
OqwY9Cc0pEPnR/dXQU04ckn3QzWiD0RFmUxO57DwoszLDRQXk/vJ0xElcZhuBF2J+7Btur2iK5OG
MC6V6HsJFsmf5pWlv3lDDH7kYTEuOQtYS2sImAZOOaHdig3V8ocTr4SmTjeLTnO4NwqarnCqRBkT
Hr92Mk8Bte5Ok9nHFkfRYVIIUV7YXSJjesLW4QfugqnTRuM26PUWcjTuZTfLDshrcdEZ2qRraR+3
vL9emoGs8/17gU9wPM0mtRVN0P6b9KJOYZFdtQ26oKAGOpC+dWZ+epdtTyiv/hP1hAzlrF+Mwfwx
vNDdcbT/tlK63TrkdHuW1r7AbBx32JriC43jd74WxM4MsGwuL95A3XYmZuTge6Nmib2Zgw3pnsSW
IshJ8qzPUIAHEZhbEsynYQ4aegSs46TVo4XsdPRXiMXFvCsN0LeW8stt417wvU8PJVNbBBUh5bYC
wmkFHcvWyFNrR0QLwvxcmC/QIoMYfzp6CRf4TeNRjtg9LnR6EUnz/C1XvxBzpP9QcPAm5tB/+P74
28z1C7d/86DaF2E3CcJHsxsxyG5yrAM2NW34UYhyDXYK+EpiBenSi+mNb7hq9CP/z2dKZwJuNwV+
sUHTsRMUGR60eZXHez8jzxP+wAldIrLoEZQml8OZ6xIVI6HnvPlgfxir5u08eu32ezHVX8daP6AH
PaYFrFEflthmdpxv5An86VLkz3dHSO5SNsYf80xfPGtcfC0J2u8hWA10lryA6cSfdZgpCMLFw7fc
fgojHPKTvLn3cDtmwiIpfSEZjdO/a8Qn73U/LB9UIrMH8PkRdRvQicSK85315gM3d5x/C0P9mDmU
KOcV+Gz/nd3C1+iU3yVeMpzrclOZbAudWoM9s+wvL5zpTitY+rZlEWzoagS4OS3PXjmVD8a667WP
xA4lc5vZvaDak5+j4JW6yyx+38UIznWGPc6yMminBYvMwLxHvzR/kby7XZYJGBDFXHJ9mliKDOhv
W4LPwRuvunHrLjVOJkucW8IDR3ByaAl0xGxLb3HPZEjhA3TZzZ2BZXBePcwI77ta4tTxFnnNREXn
pGjv1YTmF3El+VjWRmJVs/s7Y3fvyf6mwvrYhO1y7UbfIDwJaHiiqGf2h3+dfFlMgRxhJmGK89L3
/0xUKHK1Cn+ISrux7Q/v5lAD1NKfrbzMGhPizZpMHggcRLNIBrugCcKPfnte+CWXNsCmxDeR/XrO
Uc2tjiWdS3a/f5D0KYm7MyN0z2Sdv2b7KS284KGtHXox6COAcfE7wJbGDs5nXmneqN0YfDrcVoAH
tFSw/m7dZzd1yhiSv4dazbLWb4EXdwzSwWSl386Sx5pjkJfMXY3xxQtZgvPi9Q9q4PSXtitjyepk
P4U91jOx6m2r7J/KZDvTe6Qxm3ENrzM7d7pp4mrE8sBmEBNq6Pg3q1INmfOxf+sa76nv+uY0+F5+
zdkpMI6XL7UzaADPk3HAmq7uO/WeVRrdvcWQ0QblNhUV0tO8K0r/njdZ/jg0I577qf3XrZP9lGG6
BErqcrvkvVRwJZ8o78PxV3+Pdkn0ygIYbmrCRVwedyFRqU1dVIeycM/kB56oAoWXJXSdLPbn0oxH
1yWgvfoi4OMsnsLR2/UO3ndfCXo1Tf/gAlk/qupZi2CIoSvS6etQ2DEbJ3POuy3A3RKqMb9Lsab4
NJDcvMz6HZKATmZaXhCEoc6nxQdlF/OVcJvdEuxg2FySboux51YV3VNHP8PWsVPclLXY+xG22CXo
vc2QWnS2GezRwuCp8MlUWPDpFIpLUBCc480AS9jpzn7ZPuau6Gl9rKsXW86fA7nhqaPEkohbmUGm
KYP+boiq4xLTwMzOZ5O5PVVLVvhrmpubFWBypfrEoTUQyH2y1OlzPWhgImmwaz3b2ru2fjTy9l/E
LLZD4Fts99yUENZoOJQH2GgftenD1Bjci2NgGOIOYCfgcfR2UvrZMsfhqB7ngv64AGDbQzZZ5j4g
/bWMNKOFKbuMmbTRWGXwfMmklLOYnnB4NxQvKRqX05JUUSTPudu8DbZ4rTLd3OTUJU3Wg/tqHe4w
a/7Xcz2eHQx4+8WNXJyGKFZRzhjUkeR9GC2Cv9iMscpYy3605uxWE5x3LLZKfpMSVsuG4tJBIo+F
SWd3m9sVNM0M01HTPvz/l96HgMZ4RBPuoPYqMOpLPpmaKim/PtccaOPgVYDLoiRPq/Qr4Fks3eDF
86z8OW2M4eyuQDjZ4IJ6qg8wea1HYmDiyVgLclbM99kjForwnRcuWiNAQOiN5fzQePd8mY5onZ0g
S4+M0KfcNn4Q6EzSrroBGd/eAD4u0CfZPUcyu2mb3p68J6lSjk++JMmuR+dvFFzqAgxO41nimH5l
svqmCfjIMCuufoCHz/Pcc7XMpOk7+weYO5j3O3CQzy+8kdGyU+vxv/A2fvAhcVLjBojSPLk8B1uP
yXdnGRLCfSSCsz2aE5/mvWBPDmtSUKm9Lbv0e6zX9gFkMXXoEdoG5YksPomDSs/ahW7Y73LTmE4R
JUOs1wBecSvgpGx7jwReKXYmTBUi4tV2BpN9LZnzgTHSOwNXz+KtYgYPUQbHtMn3/ezvA94Lf3PC
m2ptDr1fU9sxpP05XYjIYx1+YNWhD24ZEIIbGplUyBzbrsVbIPL1XlUy90cMdhx85OZJ9d8XgBS+
H22iE6bV2nut7PQ5nZmVJyP1/67OKxb/uOe0OIMEHPbOwNJuHDOUr9Dod3Vp/+5oYvrovIxse5Oa
j6W7fmVGH+z8ekxPi8uhwuO6q9IKI8N9EgQtHLsZTm/bYlHOgvXdjcRZtvVw4t4tj2t9z7Ogj+xF
cbVLw7+tU3McPcgIYZ/uFkrcDDvPDxn1etY0elfJcX29i1wx/fBMwwzd+7G3nTezCxtyhfwrcwkU
irUGD2suUZw7dn8Dbd7VsazwGFJuujxZvCmSsaVyc6Hrl5o/1mb2titHKFlwFONc9geTZedbOesf
c7n4K4bj0V4HCk1G0lLNesltzzm4nAxQNoYYC8lW58sPTmPn7Af+T289t1PdPfFJn8YKrxQqc3XA
rU/DlGeDweKh40ixr06bsrCUfxHQ5XbtC/MisjIW4+jEwdxSADcU99ZtBhCc1ESYcTizUmt2wxLV
O7jjBIVa82YWObIeijaEjWJvY5bJAWkPvX6cRVTsqe5FdJiK9Gmwul3tY0vPA5Jxq950wLUkPu6X
oa9vo8UBUssxOPWF8VBXzq0fcp5HX7eH1lw/soHTkhAE1KYmHr26TIwMAuzQPvz3F8mZgvoXUCcO
GWaj8jG7FmV+DDz6VAW6BbhE2FxhzUm1hOnJ7tdXRS0LaFrYu55HvbTuv7N8+lVoQz4LRP1taR3C
VoEHZRF9yPseDgIOopUF71s3QYAKeVoQRjx1tIg+HtkaDNtGKfsE65W7pUVbA5a/vyEyTjGl9hOL
W94ik1nt8PCKRBSFy8zTH6AyykM34T2pCy23U+UCnajCPWlGd2+7NAujAqh09V5GpdvHRVq3gmpO
5IBPdkXRwcFqxXZ+SUkdObuiuhuYvTyGFfNHyCnhVHG/TL/YBp5yj9GylrvcJ+WomnUDFcF7NgIM
85PPXCd8bp1IZq2tBDZdblkw2pM0JYyAm20DEOBN4JZLrAlgjl88pl3+DgZs3qxL4yQQiS6pyWem
+u5f6OH2yntbJ3WYUeyT7l3RhWdFxfZFYJjAZIdjEjt+cVBNDU04kklZt29h05P11wEQsZm0Rh9u
G5MC8X7B7GHLar4J0uvxitd8a0n9rwlk/TWb8iz8hHf9fFmcE+HpfocQnMVNEZVbeF/BPcmUn+hA
++XZKX6KXoM16kmN+GXgwuU16iNemV+qd4MPP2RF40rFLeb+r4H9a4KA9V4UvX2elH8nO/2hLXu+
OEW/XW3eo9R97nMaTwz2QscVbINZYfZ4aZlOcBiGmqTweMOWeszgDgKQ7d4j089jR1nPWF3eepsE
lme3n5W5vmVhjexjLA+1Q1WD9Zj15mMGySU1fbCqA1QY/KZ/26HhPuzVA7JI+wtH61WFpJhMehXG
xRzo5OOCL2j2DLIqmUH9EIChs8pUzqWj7z7wjjnh+SQYgd/Am96ACl0CTlYLNaFfG7FTXZcDKrnm
IYwjXY7/HHCi7TjdwjT9pIjQQze239py+qIgwE1aJMImu5sC7I+q8i4ZovjGobNzh44fuqTZeYsD
eJVszCcMe4ovXDfeSIT85T+684G5dDs4lTdIMfzURlkcfeN32LpIvqQbIGVljIYYW1CLetcFYafH
OvaUICWFvJhXwWvnDwZgKe/VLdY6ceW1kXcOAngwjFSP+QTsZzFN0kIlhg8Sl/ZxtcHMEMqtY5o9
z2OAShEKa8+Fm7zibDZHOaG+UojSnxrTQXuD+tO7eH6W4aFtBHwbiSd+AY6h/PEy8y6BFKRzcEwp
taulcwl4eA+wro145PfjeuQNsRotB9LuxUzzm1eU67sJdYcuD+A9lJ/EAn+wHGd3Q7lknSielH3Z
vOZrG8QypL3Czg66n0hZKdveDYH/aywrk/Lb4Sb44JCA5s0w2ohwE1Fq7pvrY1SXc8IiTB8tXkjI
z3eH9ej2V/DGDOcrIVaqOLmQpWC7UXIZPVsKLsMfwjf0NkgfVnbzFLgsDIB4b8IpyHGgh+uTQz3d
YF+KbH4a1/u+sci9pOnAf3TKtE7NKvON13vzfmDruu07AhG8VvwnGwcR+Jx6U8zl8JPtOC6YwFVU
PCqfXpHWnsd9pDoEc2CWE9awJFsATkzggXFC4Y3qNIoxx63FQhB3klL44xYaCWHKYcsItLS3QqNf
BF2RHQTAsS357mFbDWu1L5RdboTZthTEk9mMLAxQZLQmKScShNGWQbZ9dWfjWzaucQq5i1T0QV56
ayoe77soe6Xgy8IzalAVtcg0emoN1sW5DrPnOfViuJzRoZ+ym7nUrIOwUE+0+l36wWSDoNn2FROF
XQVP6wzYiuWDmT5Fo6bfiYbcg6r9T5LV1oFvH37kRj9xi7vHPFD3NIE2ayDsbynjbrtR1a5acxtT
EJbWWfvRzdIpiO5SDs+By2Yq92sXbco6GyHhxHUk/tOrOnzNejzr+CAr+nR6m5uaDB6q2X5DhtAb
NUAjHElklW5POMgUv8tUmBe/w23fds0c101qxNkqssPYsX+qb726NXoVL3NKs1xxL8Adfjv9Vz5S
o+No0kiWnzDbeI8tmVhjzOWRPg405xEfzQo+ZRTdekL4fGOOpMY3Jft1L9oYxUfZ2uJbNYyRmfjl
69J65YL/OXf0X6rOO9uasQkNEwQUJNhD56ZoPIOSPPTElyrECD/U3jnrSVAYPcFr9w7MonPm4EzA
0ikw0n1j/2rkxGLRm8abaMx/dpDyUjetr1VJ1rdzThhQeonfOKDNPafa5y3sVGRqgBfegu5uZc1R
lU+rlx+CmRxLWZA87f1fJqxZR6XMyiFQsdZ9FxPBhLkBdWBBNkHDMHc5r2DGK6qB08Pk4AcoqExT
FRm1idcLk/bO8nURG2QeaIgATOCmb7aNHNC2qxFTGISwkG1hlF6zlrrN1bjHegx4KBDBNl316rTd
k6ss6yiVz7mXeYewAEChl8lL6Cro6UmvaqpnuEE82ZxnNTrVoobPdQgStbCWwI9yb/4UHy6UwE23
wxty1AovHe65b0KeJl3YZCmb4iMCuk2KHKaWb4Ybzh3WpNLJLhPjs0m/QGbhi1MlNsYw6EnFlRxJ
IerHkF+MPiT87JZdYlqvq+3xLhK/w4bzix4Oce/xW45LY98KvMyxkL6duNwlEBo2K/7XB+Grp8Bc
yCvaONIXbzhR6eJxR8kJpwXLS9txtWjsOvFK7l8LD/BpoVazlTRuabhQhEYrRM+QahrFrYEBpIas
MumkdCOMAw7Kc6nlbak8/aDUVioWygVmdNP9qjrOfV/mT+EKaZsMOosfZ8bmNmG2rJZ/Y+2uOwa0
ow766eCVxTUMnq2mjiBEgeVvyf90q+0+TkXxNUg4FJKkfGHb3WnOFOZNqgYRvMVZGx1duxRA7ufM
25ZZhDa4slFZw6zblY2HMsWK+dTpO1S2g5yxQKc4yqKreMfZD0Zn/GMIpJyNjmaOHNwesx2istiC
m0LNFZFVQcJxzaBse8RXZDpyOcdHrQOQXOFSO1+OF70OgV6OXRGt21oLUCouhFJWDntLvMp2xJ7Z
YzMMh3JMfFLXm56I5B6/0I89hARCmEjscVAPUZ7+C+4nVcFgeaYb7WUMrJFZGqhbPSr7bRzoVzLJ
DFHFFxC8HIb5UgrJYiWFV7Mwzrsyyl8Ima9bJyOcLAQhiYCLT+y4AIzIHOSYSjNMCAtOREYTh43S
VMVTOxanbk73tj1BjFVYyBW4FvqqVXByxPrNAd1dsoFfQp9CaLIFDkthpu0wXc8wY9JEdA6FHeNs
sXiGEYD0EbDqRr50KH59rAu8E1Ln7WFhIXibpW3cUlrNyt7FnILvZtMa2kpcrHHneiESZ7Us0/I5
NJNI9Ak20I0vw5ASVPdGe97jnEvOP8jrRQ77wCIEbwXRV2lROT32wDvIu8Kj9I9pwx28S8cPU8JZ
dhfEWKRtEgZssVcPoH9q+8B+5/diBlZlM7ptTBm+tmMDsfl/5J3JctxM2p2vCB0JJIAENl7UzJo5
iuQGQVISgMQ8D1fvB5/bjv7/CC+89obdkj6JxSoA+Q7nPKd9KNmpOLK4ddU9aZH5eSJ5yoi7K8OA
QroU78IcHmvGG1fHZ6jRgVJZpSI9J2P97RVgcagipzL65kamCrLirVtBNQAUO4B3WLpcnxdMOh++
eL9eN5Hz5ldwGey62s0GjYnT8gU3NBIF5tds8QXyReizAemCuGoesibaZFN9kFKcKqF/wBYkx9D8
Qydko6DhUjJJngxtYtpMzQx1SChigIisSWK/++pdhNG3A/OYxzJWgiUFQLr6r1XraA2gDXkZ0QVp
j7QcTu4juPypDk9LNEaKKIh8j/ghqE14qPUqhYKfQtLAAxcchc7uOeAeNmU9pWHOXmpaHNQECYxN
6u8YoeP+o0/S8jF5wLD+x5pHjNwkE4QkOdN7NVReQOpImDCN9n0xU4L1kexznEereEZyxeSo7t7z
NvvGh/YtiuJ3FnG7xO73EJs3VN1Q4Hh+UZa0Icluxmj8sRO0n1fbzBoEmce+be++b+Cm59/KepYf
MsPDb1EhySb8a0iaCrYXS0kJlCR8LoAhln77IsANMj0nEFBerHmhavCvap8+RA4001SOj9pCEmg0
Pn7k8NlprIuOvGnXUetvADQ82vNzLvy9jqW1YvTOBZs8Omiz1v/8iGJ5KWHSbNOJqpwMk2QKXmLa
Eum072JmgRjRXkDjfKFwxoAWyseqGKnOgvyPq99mNrIrQQBGBaVEw2tLA2Nb2rzzvUR5GDTvSzrE
8r9+/6QUj3/bOlEjB4eix6yXLrhKM3S+OTM7ryNkyZ5sfvzG5lFvXkUVjQ/ejCqdZ9a2ptk9YLdH
+DqLn6qZMPtMfHqleOg9c9lOBbthZPPVoGdo7Z9k7u7/GA7U3Yjd97FKUVsPX/jOLh0JFevJ1M+N
9N4A/l1nLIQWu+nOL25pOXwSnXZJYkTGwrYPfoGCxrGsc4udyBPpl2/brxNCb2du/xR6OLlORljz
RFKO8Ob6f+Hsl5Avorr+zbMn94Bf/2cMwn/+8n/8/xjCYNmOD9f//x7CcPtNbMt/yRz791/5d/qC
+pftCuF7FukLYolU+N/pC575LxtJpVRsQByP70LWw78TxyzrXw6/6dONCttc/tb/SV8wFWFkFqZR
2zd9W3LM/r+kL8C3WJK8iv/MHPMcz2SxJKQnbeGa/y2kIO45YeyinXeFEulaLRzwgY0VTgPr1SjU
r7mtzwhsLyhLH+wBbpmdtw+KlTQCiT+Mm9aFgTfAFkG+DejvB8FjO4ujcp+X9nFSbcdDg3DvZrik
76JHCdHhaQw841S2DBqaiHPBNvoLkJd2DaxZ7XN/ALWJVK9Jw2XMHOKwyZ/MDlYAc1Z3rQMNNy2/
NFX4ChAZveQYPEvmiCuXXEFA4IwiiEWcxvkD4go6QEox1k3JOe8h2GO+YPIY6p8J7yg1cYXYnTQU
0/4Lz6Zbjc/C6RSxi118UqiEV4N+mMbI3DdDbFCT23eY+ultrg+O2VvPcDcQjbNtUUPzAN2qY6eN
IHqeKmurgW3YfkHJg9+67hlM7GJDxY+B5yOqWlWe8QowLdsVDkk+Dd5WqiiMN7YP1kzzRmvQ8CKR
BHZXMX2kflcji6MgsIhmMmlmcwRBQYWVvq/FG5T+V8B16C3rX2QevTj18NthsJ8jDMxt59ozPD14
SzXQOS1Nv5ciIciUv84bd3hHn0593++9zhp+dBjfELb1u3o0yoNva4EEvx+vlXBvtT2PD7mo4Y0m
Dpp1l/q+0f2T7po/pjvoI0PldiPdQN5ZGYudH3ku4n6y6puMKWpP1dZ64iiBel8iX3uwWTxvLWf3
l9kb72Zq9IfacYotlgc2U0iGN6x1j8GILsILsBpXCdFWDd1Y4efktZLh0yb9IvzqxL1A9MXVaTfX
cBxvcUDHUfchvIaEuV5sz+HOmjg/cFk8ziUxuQFS2myy42Nog+hicnCtJTi5qvTkDRMjaW5jUZzr
qgkOKmrzdSEzUm5aA5kDCve5ar1DgGftEbJOMH6VicKb0lWYnNuebYJXIPgVpLmN/XfA+H7rLYs9
dA27IUJRTOpwRwGJKJMt/xAQ/OkZECqbTJ7K0H23/OxUy3BPJtZ3hzkc28RzBH5XeWQJUNjcOl+x
WB6ea0uSZGAoEjvd50lV+Z6o1HYFNYeJs+GD/cdQgBxfccD9A18LW2dHtg+70wrld48lcYRlsWHT
/cniqthZfYu7cvIoLS28DNLwP43G+RTZgrmpamhpeK+6SjBwK4kvyHC4FwYYNabBaV3sQE0cHWHh
HVGUgs6+meRnFcrPjo5sBe6/kx0Snu6aSK6AfF7sotEfR8aEe0CXzBXYc8Gb0UHftQJ8RAGfjNav
pf49ZPq316jkXnZ4iz0ftwFN/E1MQj9YoxoOkU0+xZy1R1gp+akpZMXU8qkzCOJKZiKTZIWm1dNA
BXpmKz9hgOu6eENOazxk8wwbMst3qNTOlpMsUaqEh4mIkirK4uKpruvffv8SFKxJZ+UHx8r0YqYe
8RIILnOUGUgGuqFmB2/VJ7NN4faExXQenGGvAW7sBltjzoc1cIhF+TusOvtudGR6a0FkekIQ4Jmx
h08Fzf9LrKJEH2MM22psjk6A7bbLTokVZ3/Cunspwm435/VzTk5AoIS153r4NSYvUF7mv9mMusxO
rnFRVBQEFO/WEDH7daV97gJ2UBmF7a7xSm9XIacI0qRBzpJhEa7anTD8GK+Qy8NJldPKtuZ+K6pw
UWzM+M0neeliZjhIAh9MWqPVpFj9qWBgFUt+6jHjFYOICz9blZx1zljRbFrjak0dIz9SZdfulLc8
VaFjSae+y2K0NmVhJ4vKgzw5o9VXEbw7M7jaDj5raSmDTqcXpy4191XjkNUyiY8SYsprQ5iE+xiG
lfkdDAxHE7ca74XplGiASyyHpjceBFMDDtCMCGyvBFTWg2Bw3O8G4+0NobLHeD4oH8bFwDLW/DSx
XKYgk+OffMNk/DH256F1XxLmJVtCeqrTsszrykKwyjXEnmfLSQnGA46DnEFRp4NS5yqzvQ7TNYk0
TbLlxRCYhtrzIfVQLuk6/K06L4GsZxHE4VqSw8NeUtbxdHjyp5HaOTDWO9i1+J3NBCPmA0W1knlz
GQUCwdaZ5Fay4JdN/t53vFHRNDHTY8ZhoM9gKBg6wRFd7TvL4Y7nHUsYLasryefRkF8zhAkWGiuW
IThSOmdw35oE9FYjf0adjdd+ls9NA10VwBRHeqYPtBwVA1Q+RdFXh76R8U1VLEzCLFXbMiIuW8QB
y2SVkAQAymLttR6DkpzL5J8vrENxXo44YUrcD4ApnC83jJgqusy3A/ASD9j4TNSBU7zTaAH3YZo/
CPI6XwYIYPXgG295Jqk7SBeDl1Hisol7AoK13A0zUp9/fon8CmeHatnqdH1Ct4GiqZ7Vr85KIJZU
AaFIwOEYRZrwOY8IJL1j6IzDKbaaZCVUNCP9sYON5VsfWUIpQDN2VrMEWI0lyT5U4rtHdwvljsA6
Bg0Wi2hi1xij7xNhgp52UXnhnP9mfpJsgC5yUjrZA/4ZEuYS/ZiI4DHZiTl+1y7vg4WOB3juZgyN
xwhYbMdMFIoG+hezufU8DjfsPJn1xJtUGv2mnfEO8vRAx6tyRnWhXrgYYNUiou9Cl2xWRG+bIooQ
+YenIUte9b5w2kPTEgcz92xdqs4HxRQ/kVWRk1rSuc3JMUS6nZF7jP7oogeYTq7BH1dl/eyZkd6Z
73XanFsneJ0LtQZCN22dMUBNEA5MmjtJqScrwg5p+c4AsVhVLLSyEkW5gZdp7QjDPnQRrG2XBOU6
Me/IhcVqWm7G0LK5fsPxgUAX7xEaDNKj0UblnmPlqbySZ+zVjCr5VUPA2k5tg4rfrKNzZQL99zui
HYx5Zp5PfvzBobzYebLyV66Pl6kmvLNpsH15KOivld/uxm7+m0wpsVZ12FM2IaJYSJu4Xrns53r2
L/i33lzGKaultLUHz3vw/PJce/pxtpeAgdnC4Sqf/bZYUHnEZlgdOSsFGwa420izWSY2d3+Ywcrx
wNuMntXsuVCMUwLcDHjjR+o1clcMLM6rBCjnLG3aSzzXp7iZNwMajZ+chlM1LcDTCFTjVNs/gL5B
v7CmiAnDOvuVfAT2bRxjWKrbkuAzCNUz+WaZP22taMyPpu/eWcTPfIrZg3AhurLiEo94srxzFClz
bUSd+kQp8HrYRZRX34yMPxqXIl85WbOdy4++dKavz9miPLPM8gP+Lg9RXRsvhgTU0I/8y+xxh9QI
NynF8y/hI17DjmJczLrH2EPaTzUOIB/T/MvBVfrmYPYzBMojr5rQTBTB+BFB/zFbUT6qDppWOXWX
VjAyy5KyWI2Mqc9DjZNaqm+ekHTDMiHHJrAgPusHPQv1yLVqMWBLy9/LvojZX/FNOLpaa9y9hdtw
5NSDvLJ4XvAe2viq4+4C+tsj5MnvDkXjR3ueuAIcDeOtwX8mTnd4a4C6X1kBI1StZgershPvEWKi
avHEvRVZ++qpKIcrCtW69goS16Km3kM0atACuGCLRStfona2zoydGXHHkXzhZ79mTahOeR+dRZ3L
13nK5X35ldm71qvgKX6vpukQtcck9YgA6vQn4lDxqLOAaaAB/zMbFgs7DFjCa3qvxNrPH/tBipOR
uHJD4XBE5k4ejTvBOfJz7zblwFMSYo91k735hm0+jJOJfcbGuC9UDUoBYO0VaXx78JriW0xJdf3n
i8NKYiiDW6dbmqqxxqg0F/d2+eJShgPFXivfxnbu1ulxNkeJSUXml5Dp9JjdyOFSeEKmXZ9q89GH
73g00sXeHZjlLm6wNQEczlkvm+0hSysXslpV7TqLuewM1YBl837E9bEpLdSl8KTWdKEceTaWHkwH
7QtmOGs3jYGPhq+BCQFaSkwUOWPR9r8H1BFpyXwjYbFcYASu7dG9qNIz7y1q0NISb3XgTj8EN8HU
IFCi7v4UqjkWMUy7vi1+ua0P7rJxP9UA38ZaPquoH74d5vVXTjREyo9OmaN1sY+9weG9yKdh6ttb
ifh937hijc1I7ZzRJ17WRb5k2/GtqWiLvDpHvNAmrzXSgR0GK73VdZJ+Wf0XrGZ5THrwJHHU20fA
UTeUgupok12jwwejA7CsFDFdPnr8FdvC76wrynVtFai4Ot8D9dE9dQWWj8DOH8eEWX1H62BHHqQa
X24mMxSbOFjssckA5sNNzKMNqcZ/YBs8njPXJfoheuJQIfsZdvV6rLweEoc6Y9Gx1+O8GCinFug2
gi+viFJMGVV8rsFwIiJ4G8s0+4hE8GHwETzV0TycG6t11gJT32duDb/Ypasnt6rzM7B6f214viAH
rHwFoJU9h1Hgn4gzjTf//PeggPepXRW/l1apzMEkOKH1LqeMR/m+SF3/3iUxvWlF6q3MsQxTpjAt
1wdTjiupFv9HhVNrNm2sq81boFh9or9YZxZ+g3xkr8N1DJGhc19iM9yHCBfX7AndQwrYnZKiBQxY
2bxdCtR+28kZ1aaXXrVfnZuE7YpaCs7sysLa3doKHmyUJtM78qcOFXdTXV0Vyadyng/TJc668tog
zMI6jedeQg5cVAntta1RvhFuA6ooUfWq9+fxZRH7PBYegQNizYLW/MU63DrhSci52Wg4OIUfCXjN
CA3Uw2NnIFnrBaTCTBDXWLlBhmIrtsFuRdwT8xhDf8rLrdQYPvocWHUV1P5eiTJ6tbLpzQIb/Ez4
NQ4/NoxuPHfbCjzLGmwzyJsM32lRmjT8Tlc9ZK3cTh2oSV1klGdJmz4T8UQfNot011JsrFqjq/ZT
7hmXOpqMiyS2Ex6esjcyNNqVDNLmxriLka3dj7uymjJQMCgOnY43xKT6jWXoP3cieucer6PkPeaw
ejIbQiPiLIA1QO/Jkzfaj34RXnSWQnIZxw8SOT5U5GSbRnsvnW3657J1XjkhwJrW1qXxuPwbF0A8
A6rkkkXeY11P7VFraMWMYh4CiczVrNmlJolb7+wYvhq4FRbbWNioMfLiGVZe/pzaMEDQcwRz9ZdV
cpYtkhgT09fYTeWKH5n1gh6idqfMkYgx5w8qvoOuFJRjZ9nEpi+WYf2QMvExISZGVdB/3NLA+mKa
tDdtRC/JIj+shnnVqxEaCM2slv5HT9ANACNc37z8v7UHNChub2kLTMfN2msBngLAL4AQgyb0OEfi
XAVV9KZ5MJdgaGejrTbobr1d0z0GxkzajrY/CUmysSVdgwkSou8Uv3HZt5gTwzXjuvbi2j346TZ3
ThpHwSYAjLttZZe9THbyaTozbFE7zQ+C5/OZME4kGbck7aN7sHiQkrY4QhgqTyK8DVmRPk8asKhB
gspNZKwQmEDcIVnx/a1m/JXI/G1iurFNSmNxsQNeVMuXYRH6/vNLv1WH2BvwORWy2wWja98xmT6U
jJdOpTc9dJpDOq4s9zQOUb0h36gGTCjAYyAC4LwsUEKxQv/HTeGFprN1YgxGc5ajs6yQp7XJY936
7bOFivCE1gwoD1SRztL+b1tipPH8t5oN1JeI9L6fKrbnc2Yc0Tvp51I3744W2AMa/5xnjvtS9gxR
OgfrWnbrMns+prWMjxP6LhQYZHvV3StjgnmXhiRO8mTmLiuAEg4VSe5VEjLmT/EH6TEdfmUZSN/Y
kMFjjnZ/ZzvMVkoY+STUsj/pa9u9TYrUgLKKjn4w2JTLnv2YgaOVYrQu//xWrNLihrpsHfeHOE17
QroJdILmeVSFqE+tJ0nzAXtmON18iQwtn6fy7GrrMniW8+308afZmkDKwwQyUlrvGeD57wVSnS3E
MV51GtPFwxSwMcy+WPG0dRd0VET0tg4EoHgr+Qn7dzsNXpaTc6PYNKmKLJugjN+dKDq2nEV96P+u
ICAQ8eXpS2AguymiD7PAude1rU3sEBojpplMYQsKFoZ6CjFYyNalTKFuNqmRXawl9k4YIxeQt7Yx
TFkMPZA+4eUXQfE+v8msZNZcNnDqTSZkSeumOLRY6bkwW4q4P2fKLteulDyJMibPHpglQ8qHMG2N
FYEgGTZ66y8haU8JY+29i4OJKRDdiPKfo9gpP+tEtmhHzR09+fwYZKEi4Ag8FPA9JDfjqWnERUXh
Z5E7+bXUekIJRC4QAAy1KxOwy7015cdctV/OZA6vTekH+8KDA5vqfCcn92I7ffmnYbaIDN35O8I7
K0bFiMiW7XXGFp6kQ/WrjkiMdIMLUqt0gzNGRGMMs6WP16kATB5a+XSbK288DaL9auntlomI/JAD
WcnxCL3KuI+4s8+e9+6Y7fCsCtIQEsDur9YMbbjoqnE3kcF3C/Rbhuggzr4hp5y7qmgon2Puw9k6
aO7MlYhiVOtQjWxW26FCMxFlBgwWj5uo9HmQNx5w8nrJ2h2XGmW+21n6g34Hhk2Y7chq+xtOV0UW
jiJQTLPcpvZrJaoT5CdBRZ8bWPIwEpyblhKtnPXZDNBzCjx9FdEjsKqINMmbo3JUuBWBtSvqwj/G
UuKHp9M+9G5iH0TJBRT1XnNlHiNWRhGYpynMtvwWdvDWeHesAWzFQtcD1/lBDBNYdbB7975iJV9O
MxZ+BB7O1Bg3V1NP+E3HIzlICQlFMr11KH82Ts+VP4QNrOuItSZafJtncDU8uaEZUAnN1QLa420b
w26TmL3Y4Z7K2BBgQJP0OQKf9X2K4q+4dH+pTPbUcUrtzUGlr77ZvXZTHv7AW15HRvDD3H/A3dj7
r6ignlvADDnEPLIA0+wW4/6Fb+ndQmLZyzzMjmNzP5NsWLj4U2Q83gY/+kp7gBUd9A2/SfWurM38
nMTzUQcGlU2TFy8t3H63q5OLQbO8Adz/0Wov26Wlr/FjZySOOvpDMxV4mlsL0h5sh23Vsm6QVCEP
k7Lks2e0I5pJYJM4yq0NI5psLxYvUq3QITVD+lrCQa3M3iRdRSkkJs01duFPgd8qQICbw8ZYwBRc
1P6Z2LNTmfrZQSn3NXfcHOVZp3exYE8f+FZ2FEtvxXIG/Qdt01E2pHp2eX9X+7TDck9yz/BbhRf2
8QzjGYftswThVjpQzrko/e3+QTsZrTiZskezfMakFxy9LFy7KMVPOVdvKXpx+eeLnA6GrZtH358N
fHgBxtXgAQ7GsAREkdEt96SaP08NR6SGZfLvLyE6nqYiadoFpQiN1VpyhOEyyB96nggBYaT2TocD
JK+d8pwOEqEtD7aRbsERnM+ag/tMEfiLn0rQU/PSRiweZT29sEqjQ/EUJM+J1sydHqMlGU8l87Ca
xsY5IG4INsoHCcv2eH6IU3JDJRU153iKbsREJReVHZlrHVOPUpk0BTVT18kipCAMneY5I3N4Bf+Z
P7XJucAqfk/Zku1nWDM3l2ULT6YtrPtf3ZRF93Eco3tX8akVDoBn3V6ioRcvBvSxR6cDMpk0iIbA
RiDQowDQjWOTXGB9TfjXH6qMVzMWyE+DmTTLabadPdz99mIQpU5huffizPmo8FfnPnmNcXxBwkE4
KXLpNdJeKne5GHMTHVKHEsls/h1tImJWLb1jOrPYK0BNbTt6sk0fMRXwW7ASM9DcBxia+g7NwEYO
o74sKPOrRGXuOWGItA1GjCr4wGxA60P6qybLmvfWtO9maXwSJax3o4e0YILr8BwMBe2m492B9lwi
MyTJwglbyA41/mGrYKGTmhOq6H7Ve4gGdZsNlx4sL98JptLcHVt7qK/1EKGRjvV4wZJEPDO9E6NW
tkuc2tewcRm8TG6/bfRHQET1syf6Dah//SCkYRJu08sVnQgwprCIeDyVR25AojU8nMSeEOkBCcou
YWhyTI0R7G01HmYTSIUX9t2Ln0P35Yh03wjQIVSgNL4LvPC8L8O8w9NAmGVDRFQCLu4oSCLCj9km
aLaIVahEcooT6ZynyfjFPCTdM6b5MONsfNEWFKckKdlKCBhZ3O/pw2C7KIMm1iCz1Z47RXAiyhLh
rq0QI7jVklWGguwB33i6U+SKrS2bU8iDoUMidXfN6oZzA5X4tgi9crv4Thudxmc1IBoOWVNPY3t1
9AifINrbVtSeifa4cHsi5AxdBTVr1O+tme1TEoWNIPPIG7Hfx3TsV6m5KF+NT8/v35gDuquWqiwc
xVtV+Z95SIBgIV/qpVUyTX/auVVjXto9AtDurXT1t+3KU4+h7Ib339gx/yfDwyW1h+isQ9uBdjAz
c1yy/IoN2lcyBqvBOWcjlgzF6oFA3545n76VllfclO++kEbZXQtazQLrx69IcLqivuJ+lCYJOtb4
7Zpm+YQ/uHxyjdjb1LZ1LEIq3zwfSblp/oZ2vGwGi+FekXiImt+4Bcj0luEDXmw7TPe9rcMjeG0Q
tMWt5j24VB02mcb2rXUwnKakHU7ePGCqcQYwA6UO7zrhJrYHt0d7CribTMvq5rWWfWSKleHE0zjM
nCwhCdSBqxeI+kWPPml6nofEvAAJhGk5mQkRZJPVrHluMHikFTo4BNPTf4N1NLR+Ap1DrdlM+S9Y
KgSlZPKjqFzs84HcuG736bnMSRcqobJgEyjBboH0QeWGeymHZ5ZTLwLeh55IUwvds4fKKnHVe21L
Iiyq7Alz4xbVNCC13uLfZNk7VJqAoDBbOVSQjk/+8ZKa2+DfwXZe8cDpLkwh8l0Rma9WzKo5JD3P
mr0r9vgN03AbuiRGUCEmIAi03E3tbnq0RkvgQr+1G6xBtc/kjYgZYEJOHJ7vcxjHd5VG79mATbli
JqZMlMLdzOyDO6gk5mexGFj2vo7Ia8KQ/5NgujhWWO2VxwIhycbzoLq3LIyrdVC0f6ljzkTTr1or
Cqmdyl3L0iBAh78yFsZdpILfJfp+wy2+Oj9LrxkPGbDhYBcHwjsTWVvrzPObU9lQsnj1Zhyz5E2G
8hIIkJGYcwh4uJrCu/vkdUL4IqRZ4u8LZPssS/nmZ2a0cq2uge1ECRHp6YO0ji28a5vfDj7K3mYn
1qjXGLTeui3kOQwhEdOangDuEdscvVsAXTCF9VyTjF94uNQLTcF0cDt7TNY3pYQWZ6RMDX34Lp1B
MHE6YCSkSoqqbuOWzQt/jJN6NI9GxbImSbzxLSLwZl3nbvUkk4JU6JH2L5cKx5CvKiTIwUZ7RPwR
rvZ74uy7+FHfXDqdsoWb9Nloa/HeFOm3rqmjCYkJNwP5sFu1zH8ivFd7twdLOTZI2WKfu7iqRXfj
4mjg5MP/CIv+ZY4FYFgerKN07ogHn122IVuP/fA6zaruUA2GsS3wFTIxzwJoBk26oQlMAUWZ2aMD
fMOz/A+fFcUdWfZwtK3mE2fcK+HfLNBt4znE4Q1mn+CU2QyIZ7Pb5thLmT+NrvtUEg19Lecogpwx
PsMoI/ZN9yEDFUFbosSd5oxDqYOKLQkHXJn2tK1xNNwnWZcPE/PFVaEtig0osbQNxQtzTPDF5Z94
RgaMb1WCVlEmyFZCUt9ZVn3Adzw0JrEa3pcfMA8anbck1Bd6310+ERqYdo+xYNur7O+KGccIXQ8s
Ckw22VtbJwx3WgzguTxmlJHbswzm/ZbAe0oCy3rDy49ayrvHwhicRT2Sf6ubdeOHG+mRNVXnc7cH
avFNnMp8MmsyLd0uQXtBCkQbFCbjxRbMoMOyqtE8hGq+DcymiQhQW80bN/XxisvJ32VR5m1Gw9lE
VllvTB2+B5Q3TGT6BEteh8XPrBGXQnd1uxa3G8zvA4TldmRwHHfHKIzIWunmTdJMzN5c37gZun+u
SzQ+5sRG3mQSiD00SveqT77SmnM9RdgSl55zYR0F6sbkyA3C8Em2KQ4vWGlmxkS9b4lP79BzqJpZ
zBSmF4ZKrmVkz9RJpci+ZyvErYA3umFe0mtf0xKUDIMAOHo0eWY8I8gocIn4jD4m68JccCAMuzcO
2DNyyhP+di7+eBOwaNuw7maHk9zrm3aXZ1B4LCFP8zB0B3arw7omiJ0wCKVPnmMGuwKdbJQn0853
HLl3F0uEWxcu+zmDNi/6Q5h3/hJJ8Y3ap0NPzcY1qZpo17qctpaTNm+GiRi17h33AH2Q46RP/bOj
8y0I3pR2NPe2dm8tIAIwTk0VJCd4B3caneAQLmXuAEJ51zUdiCwSY+f8fUkZtarAJsCycK5y+VIB
WhQKj4yLtW+fScNYBT5Dw3AuFdBAdwRRLYZ7B1isiW15RJ97lDzndj5Trw2v9GRNRvinTOcnvglj
AOyTq478kCdq9WusrwVjiVmHH+MydE+1km9DUnKwhhrmXjX+dpAotHZ86vTogP33WLZX8qIDiebC
94rtmCfoTLnNrii6Ht2KmBvXqMBJ0eSnVVofNRPuxk30zvM5itjdr8wEaHDAukeY3ZtGibGqgu7J
wS9sTGy3heu9GvNErmkR6LWfcNl63M7thK/PAHhISGWxbevuO1YFm3i6DWVV3EejeBrM9K0BPZS4
7V9EjIDpScKJqt9zTB0dKpr9iVYktruHFK0ydffogesrqpXLA7+YeC7o2foD++JPNi6d2aiPpQJ7
1FMxtCaBUI0ExhLU4a/aV9YD/cvKshcRV5d6q9acm02u8e+XJOI+0Gcmp2YkNRNi18lOHX5wzTip
94EFCcrEDWxdefU6OE2/GDIDJGtKguic5Ke8wC24VH3/W1nZp6jFU1voHz7jox0gTeuNxt7E4Z1D
AW/C0AOgdoBsSxcSLkBxIv4guwXW2RDDVgg6tdRGBTED9gXm8Zuimwk46Z1YYwACR4wtS1JfSa7+
UMJ5DdALzsr9GaPpHGBboQxOypURQ3QsSiZXWqnsWqgKfJ9Z81DbqLF7xrxPJ5qGT4bIhoeQzSTX
MWtkhXAdYMd8MNR0kmPmYv9AGdM1yYkz1rgOvvNjebWx94ej4anuVmuE1gEmF394QtDiXHxr75Ii
cPCJe1rNTR2eK6O4ibhRx5IhACHp3VvACn1sSVIaLD4GhvYXnAaT1heCat/GcGLK5YFSmkOQcz40
YGiGmKNchA3xYKynRN7YqR6DPD3jwIlXlLycS2LYFXFwgo735UXV3i2IRkzgDg76jOLMQGwV1ICZ
Zn2wME2sWpSDL6k74JV5jwP/WTZivGmDisG3CV6zMEK6JFR9qoLxauR372ouuzXX1TvR2Cj66GfX
Y8N2s1P+sXYYNUQWFJ2UrnefexZsAuINsqSOn3BIfBD7pM82nz4dcH+iQj4W7nCIJWxvEFwvKqr4
qB2iAdgsDR4N1TIwaw4+PIZoZJNGrm0DaJP/GjoCJ9g28vj+5KRj4PfyTeTRUzh4nXjZ1zAv/voo
35zB69cjrmlmwuQ7lFP8I9TekxnsEzY8GJi3IoXIi+N2sPK3dNGKAR7dsPDo92NA6OOM1pVSSBXH
OsXH3hb/k7czW47cSNPsq5TpeiBz7IDZVF/EhtjIYHBP3sDIJIkdcCyO7ennIEtTJtXYdFffdF2k
SZZSiUlGINz///vOcULmnHCkS6OPrwRxO0Li9BFdo0fBZJMySxJnRZ7T35F4pNltSY5SdFrWrqVo
WsG240+Zfkgzz7jG9ot8J08gXYXW/Vy/zzZJM72icUkk8yNTjxMJgUPilY/kPnhBh+96pEPpV9h8
ew/8YMzKgVMKgeQjBdg7n6vz/UTzd9NB1X8ChnSYqha7lKM+DIQnowEddhA92PU6KTfU8Ye7AXv7
aIv8RneiTVwJcWREdFCW+TphsDrwKZduw56SSehzx/Vi6OzsB6DUL1jXOEtetQIJxaxGtl1zAoY7
J5PFR4WXGndiWHQ6G73pAIpCyfHSFsrqFL+XNoO/3nnTa1DJXlI2DBJhLxt6FuSOCYiI6o+JjHiF
XJQIMNbEugc71cFUg7xKRq5GdeEL4wmHH2jYmmmPyqodHVwQK3hkdiL2giIheKcMwHvQDUoTJZyf
GReBptPisZjI6twypObVy+yzqB6Zxj30PTEmK+K5xPqSWooLbXTsw8+y2FDSNgLOCt/awGFPMEKm
e43ZgY/LdXhSkzh1TW8xyM/kxpPJe9wTu65NyRqrJpWRox5a9yjBkE8y+vD4sVblU1FHYdDkgWCA
t9djEhJsbbs5Hmmw9F+VbB5nnzC2zkq45+SE31CdeLFMq9bbE4AdAVU1O69pnn29O0ejX2/IZG4G
LpTZCHvQQ+FESrum91LeiJSqDz85erq2/lLwYKim8Ef3rYXmj6bCPefZxG/jyrkmDhpmPujLRHsz
EsKqtcCDC0khMCQXpDr0fi1wnyafW6r3s7DEwO5eYHGu4Dmy4OhvtY5vZMQ6O69aubJaROqET58H
ezqmjdqbXQ3lpi0hPFsZxZlEHbSufxIJuBbkqe/RUoQzmcx1FcoJYqH0yyBymjdswvr1nyoGf5Qx
/kZpH3JR2bV//02ngvDX1L7v+KZvu7CMhO86zpLq//l+n5TR8k//Lwa9NTR+rCwT3h5QTPR+89H1
dnAyR58lC+Ba4LqNz2ZSaAHltZwhQ/USEuKiOKtW/8WX4/4/X44rTLYmnk8Fz9DN5cv905djJHo1
h242BpXFVCwluzMMFfi0mfJ+xFiehl72xeKLDws9ebM67UbWXhVorfPllpoPs0Tyoxuf8GPykjT0
zX/x9dGX+Jdvl7tUG/RfbQufz4K/fn3SthmjF+0cjLR115lLDEhaYQm32qJbi9dyFzPtWzkyvevY
PuD7bF8n98OgoLTy+hFrH1X2clhk1zGvyF9f3f9YtWb5D/25s/PHf3jz3r3/x//+099syy7ppqv6
aqb7r1bl3a+2D+mY5Z/8d3/zb1+//l8eJ/n199/eP4vlkdvCovzZ/fbHbx0+l9er7fEz+P+3Zvbv
zfRe/qU288e/84/ajOv+bvuc023hCdtxLMH/28De6++/uRaFGpNKjc5/Aq/78jt/1GZM8bvnY63w
dWG4nsm145+1GcP93TF9wW/xIvBN1/7vtGZ0kOH/8oLSdcNnrma7dGY83zX/pTWT6bzjiPiB+OGB
LmEQu1x/hNcNj1WitUFOUCgYmrl5M/JjBw0HfENZ7AqRfRB4Hm4pFKxM2Iyh/WpgbnkajfOckF8A
/71OvfZNgTk6O4ZNUjTtzlM2sjOoHFrLWGKVziXNAPtLTm0fudGjmNIClw2LhcTHNK5PHCfaIlvP
FRF7Ds9Bw3ZnMxrYGAhTMRRx+4NQXsWOdOC+UJv9uubde+gE/nGYbPpuyDkzOHMzBe2Mp6D1oaMO
FAr5s5m3rfrSfIBflGwd0nkdBZwYTp7h8Gh3xokKuWYZvJkZPzeOvQRcnfZduGyHrGq+YTZ2rzow
n7JSAKGrCRidM7Mad16pi5svXQMppOjzu8HVywuw+GqdL8YOY3F3eEg82P+CkIUiByBAovhgLrPx
uu5xWOwf9eIBUa6CIccIBr7vHQiGpK4v4WIOcVGIGM4mNk0Yst07odBmOZkba5dFTbbYR2Y0JKAh
XUga6ttaDCWCLFu7RIzEYi+R5Y2d0CFWaE04sjDqW0wndEtghR61xYAieumtyEwOqFHAEBxZUaQY
i8pNYWJ/BejVrCBDveqIVdLcOKsB00oz8bnXOHUHMRQEeGjwfc9enMj3t2ZHhTpbnC2DZRIJCFnH
T9mdjdYlr/G7NPT/RoQvE+cjbezZtPkX3ZbR0SLqFqY9kHOH/hNZQdIGXArhVjCoRClToJaxUMyM
lIx3HaqGOiOfGYX6IysQ/uAfjam/VCTWDkQJuRoqfpOIj7uYbJDzcVBlAE0cDMKuVXL69Th5I8Ax
FhMOYdVr1ig7MFSx9xglLa7FGHlOs1h0XBzkke8YG25oj2Bhf9BZ4yYVN9jk008CPSQXVPNpfTfN
TRlzHMJdSKIVdc/U6LRjWBGbHSXJkKEGcBrmwZZ/xA94oeP+Do3omiAEyhczkCoHjArJnr+xuAuy
nPFBDa3AX3wD6FzsQkqz1xg7V3Yt0w2YU7kKs/JYSdNiIYQb0mw4tjgqmIB7xKZGHkMwWojUNZcN
5+4FukBQ92pFNYFU6+ewWJCsxYdEkHQrESQ1iylJS7GpIKPa4TNJ0UqLx5G7VL7olRL7Tl98SyIq
Lx7MWCLO3qEceTuhZiKdkR3jxdYkBG+4FqxEanYkH4CT+WDrexRPOaqnfHE++cif8sUCVS8+KOJ3
rDLFamQ9cdbh/fIHk9/WoNonq4i/EM+0T45H1w+yzh33pyaoYnchlqoBxULIAbBD+eKqAtsgnRPT
1pptOFv+OoEYSWfVY2pWQ3cwhHyI8idPF/JmgI0c9Opd0t66C4f6NDk6NGqELTcZvmctD69T2OeH
OZ6cU1zCcrSBv9dkem6cyM4Dhapq16fxE1mHAdavum8hfJ4bCh+07qtu10JdC8kr7aO+TJGTK4pI
Zb83XaM9AQpIV7XdlFur0RBtmtzZZYILyAENGQ5M0tLwhRPIlSb+Q1bkLwW12V2i/zIxCOfoT+II
tT99kX13CDOglLQzxc3AYfdmtI2vqLrreVvsEktTW0+6j5aonlvmr4Yh62Pk2hbvj1ww7cNqNnOG
DXrbB4CkFyKQlrrtC5g6BX8U9k+S5RZb2RV68C4Qns6wGJTFzuz9ggWwZ6F8hQ/t+CHv8Yq4Z1n0
RAPrekV+wL+Mujg1zfTg55FC4XPndbG7Y2AfnxQLw1VuM23xjJBpcmyC+CPaqWfaCpBiDQ3oDlbr
vM6GX5daogdJASo74vMji7k7q5lDkBEjFKnYUDDGRIDU2R+GlT8mKn518NQEfRu7LB+Mh/oWRh90
l0UPV9jW64AvDgcrIIxFIddZDHaE/0o+4afJ2LBZEkNR7MElcBTzfxhOyYTlQyxyurypP1jCQkfF
W2fgrwPyyX+Y4QljRLLYuI+havH8D2+BdyTroQ8/Mla9awve84pz73fqvHFKoWK1qPMKHHqVaVJB
ndDqeeSyecrBOaf5g2PAemaqiIRv0fFNHJUxk7BlwdTXpOq775bc8AFIUL72Exzjtf9QLoq/FNef
sUj/Wh39XzmpK4+mdsuUmO+v/W0vqkAHZyCh6weOYc2hGe2nyF14qrZ84BOvolDeradbE/tggoVw
FOgIaZ7vyhapxuS/lg4xiqXe0S4KQxeXYbFIDS357oHztXEdonNhLGZT4kQ4tqWyNpZ3JSBf9mdB
tcgS60WbONX1Q6ufBmyKLqGsxCL+t7RzcmMb1Ua2dZeLrOrcbzZ+0JZb8ixpU18jk4FVtIwBYwyO
+aJy1CKkjjzBJv7Q/Rvv43oza2QWxcDPQ1t0kGBL5oAxY5P2zwJfZIE3siDouZ5/qSShObcNK51+
0UzOi3DSzlGag6rYRYuMMjdoq2pAbcb3emi7dbpoK/VFYNnL/lKzjt/x7KSriOWSJxq6S93NEf01
60YR0zNq6FZzmABcZ+S3ximCtMrkLitSioq5XnzgRvVKeIgJg7EUtmfNvIPYWYfj+ytEjMK3bDom
i6KzG7QiaKzqog0UkakpwJtsyfaosWPCx7jPM4g96eyZCdSO68T0ThQfb+O4MLmgojuEoFWhjUUc
Cgz/NuoJhjj2NV0ohl3P5Xbo4ecY6HBNTGAAfuMfqd/xth6vImztcx7OVCu4nEX5uVsQaFA7rpaU
H+GiNyVSbzOSwN7oxddpUaBiI0t5HvDpW2lfHBYr+NmBSudxWzRc3TmgnVqnNC+EL+/MVsY7twLu
WOXtIba/LI+1bF2yr4NokO9IMrPH9rIDp+qZHU3/yvkzPc4YXeMMrKmuiXiL6bi9EUl37Rw9XPeF
pu/DivKp5hLe6d2HeHxwow5pLOwb5iTag4uLkVdJ86kx5ASZ4jEaf+XOq/EqYwJmZuF3Sj+DZPSW
Is9XM8zzThb2IbLsS2hl7rObvmtqzLZUXBA7AzLHVbI1p276MRu8dWP37ISyf5AsivbCpRjbSe2Q
9vy+l+X7MVPRmnbsuA/b8gF9AnHEgcPRcmoYzUytqbbJTYqYN4mbFX4k4rPF0aqBGZkofC0JOxio
wz7nRwWvN79PJ+8pz68sA/Q1+xyOk8svOYfrVY8kuImgcCzW4EKVCcy0iZgdwOiJ0pr5GieEY/Kv
GIjfqfJAvyWz197UUB/rSRFW9PkDjRQz40lNJzJC29LO5MGkir0v4dh7Ux9trAnQYV+J6sZg4pA1
0TNH5PgQsQShvQ9juHqutOmReZx5tmP7W/jFtO7GBHbmlBIamIwNgMzNoHx1VKYVB0a2IFDmXD5i
YHTs+sZvz6EcvUdKhftosiFKk1MO4B/9SIa8OXl009d5rAGlSyF7dg77J1rE4V0nyHymWh74pkVA
1lKsSzhtnqxwgHOM5fAAPz3cjXl4hAApr4l1hezehFp1GvsmP/fLLyzTQ1enKZvE+WGKIp0AmHwt
TK/ZMu7LT0o3462yBkFMVP9BYCr5AaH0GtI7YrViYVMLtewQUSjnbZrOV9Jj+Ha1GMoir9cMsltQ
69mdUXITqXJT8A6Ky3U50zSlyo6Ohcf5WtKh38c4NFcuk1A6kd3t4BXGLjN4X6vMzQK0nnSf3Tg7
hw40/LwjktpbuXnPpPelzt3XvJinxzpW6aPSGFJiP+sj2bPxKNgnqpbFn1zGvbq8jYz8qhhvnnBT
cLjRxIeRuwPVPwLwohOY+FxX8ETw9qOi2j4XJjNflTQnelrADpjQPvvj+NiAF6J0CqQlF8ntXLK6
GlKD6XIb81nQE4l0aKYhFjeQ7ZBXhT/2Nldw6mwYpIhx511saTyjocxZfYvdUehi0+i2sSO+mPIq
tj9zp/IOjsGzBabhDUNdHDR04LaDPUdbUjx31PzroDKAbsZx5FKwrjpCIZ75NpjZvaEdOGpmFIxi
PiulZmzVzK5G55OMeZoLJDE3yOZY3ZZCR7Tr8EigfPj18pP7ilTiHuV0/khPLaIV3Nr1zzaa+Sf8
5pmbCFNrXmIH1ZrYKkYWV4ZJncG2Bqh9uhFko87hhv3MDquHvy1saonY2N/Glm5kplcevQ3hbdxy
esl74d8y3d3rkLh2btNeKVheGtxF3DEv1K2POQYp+njxAsEhGG25GUQ0n0LU8ksy1AczqT4NaYeb
xvWg92C0ZPFFV6C1+R7kJvNO/ZQC5n/WEz3ehFliH+w+LV56m/GXpBjTs+HxJ4gSRoO4HM87hz5Z
lSCRPOJPLbgBIGtc/Z0g7w3vOhKaDPvpzkS5umrH2QrG1J04O6P0CnW2OEn1LqTybjJnoG7Xmw9U
08t1wrQ46HltBGWtk37O9IRXt0bEORfvnctj0OSe5NpmuJ2hL54iUmV7uw3fmowHnA1W/Nawqv7i
NPOOVh63s9YRP2pXe+U06362LGe1jAKOn8OOloM0dk7GhwEje32T+Nyo8XU2W4qE5VrS7ziiwEK3
aREQQmdYnwaN6mdP3fHN554nR9v98Ct7uabjxqKQhKlH07RrpbSNRWcYZJnzWNCCua+9p1I/+sof
bytUBLf0vLKVyQEVo/fVIwr7lmrJdgQwueYH4L8QFrlGgN+/bELZjE2919ghzptY5ALinCoRooCV
X5XJjk6OvOllBz10pE1WRRPbQ4U+CrZntedzQtzGnDMds75mrNwOclTP49SiBbRo0LqhgBsKmp03
UPMcS836EZk/RWGLIx/ZzqaQkD5D4kb3THZOpWhJX8jZI4BHByMbCDOzxE7ueEfFd2lv9gEJDDcQ
0CvADwz5I4iZdG31nnhNG/lVSCpvRiz2MP31z4YMettDt2DNyxDYp3kOY0uuUqCVzxR24o1uouUb
LcUXY1oSqEU6r/BRnTFfufycCetFjqKb41R8w6AhEnTXmXdV5t6UhFGjprlF5hLdl1p9X41Xezbj
b1ONm/orR23warXluGOqn/PZXDHMyLr20mk5NvluOlPkwYlStPpFejPdXkJ/F6zMkKyQgLLLnn7g
2bmN5jINwpHVvGhtWr0qOjsL6K0fqr1WNNGTqlEOlF72oy9LPQBfiLqH8OTaNHpc9iTFV9BMa3o4
bn4iwP5dRwGnvuHZNPgI12xH44bv76fcTrbYEPQ9J/khYLXGdwSZL/TIwu2yc12a0O/gUXAyf2Bs
EN8TyWHw1XEAZgO2bTLNJEfIttZvQh7axBBFTI0sNGW6a+pFWsfyhD5/iu6uGpyDORE1HQ1LbpQi
h4LYYjxUFMi7kWkcJ5lzToV967c8D72RyYJnzSTOKZC3SZ0hl9TiO9MtTrKg/e3mZOiMfG9PIyBm
r+Yc7S0MRAtVkUdtSta5vnPaOFvAMuYl6/d8v+y7Jm7SszCdu3bS5B3tDX89zD4etsGYVqJKioDj
G6ZXxQhhSEt5OxAI6oq03ntkIjH/qHCH3hY5XYivDuKA9pR14oleG4tFNk5badMsN7OJ2mnhx/uO
kz1+MAWFNDVHxgAbBMdIW0K9OkGm8zeaKjgsTua6ch0rULnVbmpmCOuh1b1bhv4k5T3yKG0tbaY+
gj6JlZFqnUIsBy1VcF2mh3JqvHNJV1yGds4HPZjVLknYBlIZKVTSPWnQi+sIMXlIwwHLHLOcQtmH
xmr9zVQR96gtLajadN56qcY0sHV26RQiH0dywPmDAvgcHQy6tdtK3caG8RJnpn6M4hOX5+7WrynH
z0lcEpy19Pu2/sHWylgPiVNuJems069fmuWv5souArKqTWD+0AcbKg4TGwaq1cCnEC8Eu68eYhbl
SAgP9DKLG90XhJMMBopmhIbEm20GTZKvpu9ifc3LQq0EW/GdUdb+TmtxEnh+yfgkTY8hBw+QdU63
b0i3TkWRHyez8Pkie/9opuJT8yFrVkq8FMOi11CJ5GrpPeRQEsd51C8KAo5AUr32RgBjKyerin3o
dGB/u4X3YK5n3jxIdq2fHgbDO4mHAX0HH71TC+pd6W51a/aIOh4yy1UnDWM8CaH8HHb+iwKoV0kj
CpoOSVIjWvMslXGyJjs5ldpiB+F/KznQsDLclq08ka0tsTCvE5/d0ON4lN1pYge0BTzNIpE0QrkE
7H3T+QgZrmxotCcbOzcPOWGhg+n07imtNf4pjuvrcYocDsftm9HV/Y617+KPGlDb6GVQleMmqzU9
IHQImLnmyjUIOAHG8qrxWa89M0WTuaGTW4jinUOCGh41gVDWRWcTXuuLL/nOkEfNCScRXO5BXLWx
t4HfuIOZk61stPRrS0xiaxbMsP1IvOmR/JhJPdPsNu9tNh5bg2RoYLhHMJjjrs55YlUtrprE7z7m
dtlFOyUR2AkMydBV3bnwHuSoI4Kh+qQ74QXWX3+0fC5icQ/SI6OUzICl5nhSg6npY+7ITdei/rCm
7Mhzv+VSq8+MTFS8W4lV3dQOtwzK4OSZ7il0M3Ovmwtp0/6CHSTmJ0ZWtGGeg2f8LqZvuHGMNr5h
dmqfCaahSCkYC1dDMCXmm81w4GZaynifUegW+9IsTAgl4y4TpM0ip5x3RhQ6Z2kGyBO+ozQpLlOv
qcCOxjLQfHt8NAeeGXTHHmpneGScVz5M9H5c6go7CW9lM/qcmFEVPEBl4vQUS04aKcEoRcB4I4rR
eOMCsbXD+NMoUnXuaOZepa5bG6he+vbX305x5W873UMBNNIk7KOw3of4LH5086s/DuZNtHzJhRMk
fhY//frFGLytcSqg8F6jNItgzlJaglU9bqPGg58UTcQJNQXxPlcUKhltrMYIGO6ou93R6XHoGB3X
cV4iW9YBw0a6ih56eChKQ6CIyrOLuRykf/1VR2TNaqpo76bObUac/uTAZQWROrsBDYJnfyIiVbMQ
eXA+2N93XDIjdccRfZ2Tm6N1YnkvdOdBPLnA1LKpYo8zcAUayxffhf7BnLSFP1M/zpo2HSc/eXLn
WlxCJ6p3DrQW1zGfUDtObHZu85T29uIwZcpd8IPhwLwr9aV1kM0Q1QEvkiYtmp3pgh4aOB0PCZ94
OiLNcAFighqdykrj8eucXXbMJGJHbx0KlEuqqY5MhvQVIUcuas4bOTd5jUvvQ5flcBEp/Zl8OLm9
Cy5Cyea26xtvpayQBDlb/IAXjNzGuvtopuSynMlwiIVXhHCmhByXqUngq/MBGG6/0gbff51L/Y2e
SIIDYDjPNJbPUV28zEkZcxBx92Uxf4FDj67WEB5U1UZrf+ijY1FI89UHfMfGwurqPQzlBzBJ6vTr
l4F8BfXTXN+S5DwtIPlNFGefXTEV59kcLo5Xay8p5f6pnJvvNMFJpwDxlO4T8+z+Nq46m7hvSJI8
A2hJ6mHLsZRHikXVQ2n1pq+n7OKPNsgeFny3hgSUZNXW3h4ZF3YQVrgGvHqRn5yoqJM3lGV9smKO
T1wvtp3NN73SaiDFYHF71vcHigwoC4ZU26dWh1fMK8a1oI1kDykpNs1UW4YjGQUTHtdyrJYsUsuR
yOEVJJP2Smw4vMzw6nQ7jZeg5qrQTD7klEQeN00gZjmy4TZZEpvwjzGuusq+sYw3S8sGMjfiMUwm
6z4Hsb2ivuKctQYI0uSkbCeFxhhnBKd6sLr0wJ+Zz5++IcYUgSPtsCbSSeVSE4Ek4p9f9cU43TsC
QA0ivWPNrGsNUBQ1uaM9a1ahYfGwsi17o2jTGUOyZeSuDnEqj2Pjz+/GdMZrxYdkWd/WJQBet3qG
u7kiZE3pfqT2ZWbtc6FzCrAiK9slhoY80JqLw6B6ziCDfvaUdi+q0jnUUtdOeGpgILFTdGzOfgpb
gzBYHvite3I0Lzs6QtF87lt3BQiHVYtBapYH962IhHlNlEOxlp4mSZvoqRo4+nlJyIiG8lIxlfFN
o+O18/AhUXezVg37jkMIGoKdwI7wFa9vv3qLZySvSDb0Q+YzJZaCZl8FCKAMp2nLvK8GYQ/uhJhH
QGSI+EqNC9foJp4EZmXsTD6DCWgRNIY6IgHiv/Ro9/AoL1Bpm+qKxgdpwNUp34Gw//RxqeFlf2x0
jI5WLa/KIZrO1YIunbNjF1BvXYPXNHG0gUcF482qUfoGqCu+pxESUtyZGZiHtmiYnhVss5aTild1
SOxju9jnqfocpH3G99Y/uuk8MV8Fk192ngzcNu72ieWfaOJGty44dtCKhrsLKZHtqokUVBUO8tTm
5bQqeC5f6f3xZF3KETOboSCL6XRmi4NPn5BoU0J5nkIPLYywf/7Pxj/+nP74j+Crun0vvtpfuY9/
hkL+EQP559+Cef1TLOQvf/PvxkD+0wDJv5kRgX1KDuc/yYgkxftPmqh/u2veP7/a+C8Bk3/8y3+E
RfzfhfBs9nw++hthLWmoP8IiNjESrkW6EFxiaUnxO/83LGL+btDAg7tKGORvbaW6+O+/kSAx6Y+S
InF02zVgtv53ciKO/teYiMMW2yQhYnie63u6Rwn5r7mjSeuIj2RIcUnyqXU02vWZupu3mby64q6q
k2Wzafz5VU6wIGpxQGshbwMHP8Uh16Slry2zWM5wQ9O/8s8330ZMvXBoxuaO0B6ZwNCqsn0Dv4Hl
3YT7EL7VCtgCJVIcUJRQoiIYnVS7DGkU7omULUtXC27ciKTU9UI8TzbhPu4XffyDtiAB97S3qOGH
Q5ZuiOynAYRngB5k/58ds3c+obz0u4Gt6odBz+PWybokEJpgDFfW/d4ou5ExdBMe+lhal2wGAa51
rGxryacAMMxh3viUk7d4RuZ9wltw4QsYyX2hd0a3GgrL2XIDqB/jZMkbZ3lhr8Y8wfDEN/nktX62
Hy05H/iEBbZRz5PctRFFh86w9Q21REXULy+t70irhh9TqmW32WAgFFVIdZ7V6JB8Idz1HS9zfwoR
5pUHYk8pzNY/Z9ZNz1WdMJuBe3ux6sK9cEPuj2IuGI1CWN4JoOf3jLydtVs1HeT8dlxEoKWPi6CP
78ahyG77oeQGF+c6DiCrLzfSpPExykjec9mPNwJ8NlcJPfuJN8N+rGpBJZQhqHkxy549nSZQsfex
Q/wRI9w9H3r8JaOSOGCUMJ5KFp5nw6kGDEn5dOfSSQfiQxhqF1oO5Aib8/u2rOb8Tg00bydRJ3ei
lpJssB5Ne51k1UnRxEFLVHHX6zNgOzG+zhyyLvKgsMDJG8empFU3JduY98gRSL72SlEfz/SQ6Tpw
yIgpch817UW6JmQ9Sx8w1BskLBmAtYWPPLEdvu22ZCgfw4Wf+MFY43EIoVrbHlPSebKsq521UaDs
Wn8oexkO+zEJOXooB//plDncsuKKj4Blmebf1lEGfdclXIKI0ICus+YHUV6NpFc/Ysn3FlR+ZV9a
mcPxc1sJCVSIppMnBUWBmmTXjXu8u5O7JmfofWQC69OKeiPoQVN0zP6V5Uw4Yooa7VcpgqjNBOIN
J2fKQadjgCvKFmBd2glRmq6UWG/0sD0SbyBlkQnHP2q8IY583XTvq6xBxV7hvmT9LzSiYW0/n0aD
VGPua+OBSHK4z3qUg1Tvq6OoXOsOcndDmIbGRDlW7FNbt9RvQt3USZ1WHbb6ghGD6WYyaNq43SmV
6N+15aODYTH4M0m14TJrc/SsAfF6MPgqnHWv8vGep4lGHUpApXJ0f2A1QiH3lvmP2pOSyG6Sqp14
A1qGQ4fQMOw7VBvxUYayuO2gCyw3brf5EDINgzmvSXS4uvuamcKGkDyQjXQjamt0+41Do8lo2cM6
/WPkey1lALa8RCaL+XGmeLZzndF6wD/k3MEDQ8TRD4xuUvCWLxBKQPpPnmgwxTAVRyNCzKOoyr1v
tIRtPUOucn9M2xsHmsHW6Qd/L5Jq3ho9gJSSFBY8HaNhu1nUmnUhH5Ttk7GhJOA4EZmWSOebN7mJ
Hfjc0sMVBSfz6DqSzpY2eYfO8xpql5rGmpmy3RYe+3yXRJr4kYdN+uDN6XBkKhud4llfbFWW51xD
JYanPIQ+xU6OwZjZFN1HR5HitegE10eZjRtPGA7nS6/cx4isEd1wyjOkT6NbczE5GRP3Z0R8vKAI
gHOEQ5J4M02lOhJCca9ckyN20ibrotgd2OpYHExa3ZyiDVQkGnByzHY2EUgwLZl1rIDj7LrMnF4A
QWtgoGcuteD/6q1nenwqAKyETMOqmk5+s6/8iYVP5jPOcRvbO42NznOMzVJOF9iKDjEeow0AVFJ2
uiXJHDaQBmPG5z8HPhBewlY0X1lXm5sUyOJ2doiXhJZucwN00QOlHG45YIO3ITfJcJXHqG8wWMEk
HHPnFv1IkA5OqT3vwrof3rxaHx9FmNnHzqejTbVnOIB2MgOi/uFNZXk2dB3K6QYgjdepU+px5q6R
L3ph+qa6fLI7blCrxDGLz5ZZUUDGoLjHCNNd0yQrWQuz72HDWWoVxejeeJy53p4GlN0RE8rcYh+d
AA4s65KfZJyXRL4K4ZQv6aKBCfn2wpgg6Y7Vwc83WmiDLvN0vz+bbjy+9vpC4XZlczTYivFWIBlH
QQ0ahPLSU6kPPImWorJFhiBekSaxA9paACnlzICZz5nAZueyVwS9bfZBRrq1Uks9FDyImSeHY7TP
hng8j/rUgDay1A3FfVyTFMhWPJa95TsDDNFg0YrZY0I53OcUhld0/+t91ITJc5RrtJ29pC0Lpl5x
TxNjGXezjnRvdclSSVONR/W+ZFhkG/W2JFe+nWJzDIRyEOeOuXhmVMiyjOZxy0CnwIhiscTl+s1c
N48ShKJxGVvsHwwWlx4Qqkfdcatq43ZFQXAmq9RDwlJzE2kTw0zZAwZSQ9I5G6trPDAcIuwe/JoP
QyGM+lINxEesDNnHvOE2Ye0H9lR8JigDx21dwRxqU9He4DutXkYvkcimjBTOk4byofQm90W3R2ay
rDQDzZmHm76S7C7n1r9vbMffKNlDuOizghZaiz95z7KkuwyzG53yuJSvI3l5zNjRfII0STpQy/An
UR61eGbJxvpB4Cd9Lsco20CvtA5sbYGej218dnBOrL144ciEebEttRYITEplolSPOQG7FeuOGQel
dO5zeKAMOal0rkseNBv+dZVsitlO7q3cRVoepbF4S2q2e9QOs5te2IIJQjH3XxNxAea9fAL6s4wf
5mmBNRuufcxoWQViVt65M1kyV102XHwtFWsIkfSQC50W+QToimpPQkUaGs94ws2tsGjbzbeYrYog
UtOu8QKrIGfJdmPrGfCAWNQkO7Ume6gBiG5ZgVGMx6oEmKJPgKIvb+FVJxI2CrAXOLRO8phZrQrM
tDIvcPobglSFmZP/rJN3zZ6LRd6Yy60/sHxZQX00wFlkoLAp+jsQ+XPI1SRUy7SBYMBaECdceprK
BFCTNbs/u1LnyEH0mXaHSpgdGqwfWRr+H+rOZEduJN3Sr3JXvaNAo9E4oIFeuNPnKUaFQhsiFCFx
nmc+fX9UZmWlsm91IdFA495FZUKVUEgR7k6z//znfEcHHNmgvcZFWRImgQilRbK6uvCabskECK7j
L3njWapvUjVPdD+27hrvb8sMHvRPAGryOwv+A44XjNIZbh2KgzUQjVRnjmvgiP0q8mPClMaQAS4o
G65VyFjUvsbmso8Ed7nSZj+nhtIiYt5aFHqtYk13HjUroGVITeWz2frtCWdod9Ani4iJshr5mQjT
BOXPUcRbQJfm/OWIf4OAVHYZ71G8aY3rGh+q1RC526xJQLD6DL+Z6/uPbZVldy39RkD1MncP6z1b
93b4udKV2pp9mz6CEVU7E3bjWdmi+GyENW4IVPhq2wDg//an+ezut9aIP8dSDHvxvf+zTeL/HHjo
tPglCGLTQzUAgeae4q6c1gw3CcwPDDJYc+a0zXdA4vGUEUBacfbjsMHagq25f+r5s1YV+3JYk81D
j3C+7ud0qRfEzRTEitkgrnDamP7Mjb+4UKWzLfhs0PjCx7kfxkPd55ewBw3ZlKidmbb4HC333GW4
Kmd9hAtiyb0xjE/9aH/JtSncZlqN+jTC/3uvcHyBQqqatbKdcU2hNjeNCqHBJeZ8dNxQI6fYDFu8
V/m5IGng2cUwX1yEk90YNvbDOMvs6yii8KPOB1JTAUcGfUSoXXPnNrw8+aUFPUbauMOQYjQk+8to
eqFPYdrqXVTtQwvNc6hN+4jC6n4kmtVxHIUTWSvN77bZ4jlZ1Y2BDisAM0dhkn/BbF57VoTQSyKP
hSowg0kGwxfJKXkg60gbwHKIB0Z6cafIuWEsHAgLxcW+CFnFc/i72HvBvEVdM9+pcdzNBmX1bjyG
YpVJa9r5ac42GI9dCXW7KL4PWG+veTI0R3asT3Ojs0RnxmMNWZliZYCSOzCd+OjQXC25t7V1bW/8
EBYCCyf2t86Eec7i7fcFqQiWtDPC66eZKRLVrS7m4QtrlXAzsSpYVVlsfEt51rEmBYih+bNOHsIX
zs01qW/j0AucUwX46DwPtfFoiZ4phCptnAtRn1IwGSfEDfRkOAEryC6WxrIYLPjTnGrHTAD8ZFgB
wL3yl6t7jTvwOQJQ+FHVefQgxDjVVLA7lJ36lr3GehcdxlirvmmszaAIwaMNnU7/0gd0X1XLoOCy
qvMKwhf7RMv6iw150DO1Xu3kND4FcFE9n0EAFkZVultZjxzgeLBj3QWHGIkMPzE1ILXjfi2UzF8z
LlWHDvQLvkIbpldKZhwwQciltl/4zhG9W3ZofmRpMnuE6PrF2fKdVvvgOWyHbgZJ08cHkI0r5VN9
XLZ6dh4oVflQpRk8jxS5M+0thIY2LYC8hr71NA7FCKTbqZpTklG+AK07v891PYSjQawrWxEpKD+0
Mr41tYZrAKTrtitj4zqDa10cUot/WNa7UvJdSsOaXixg2atId9Nn9dtclxUPlTGqLXTP7hlIQ/rk
NzTsDQMnknQF0ptZTRtQJMGOUoLqi1PY+ueuBaRIZrIBbTntijkLNyNNM8/CmdwrncTU3M1tslZa
P4NREO2XamxJMYZxcFVhom781B0viUV37oLJ3IJUoNN8LoZLnfBWKRnmDaA5FInwfiW4bK/Toj5z
R8QAg531Pf35kMAcZm6ipPiacelzlH2QWki/yKg52EmSO0x3zG+Vw74zjWiXGukEbOSlTEe0ZA23
Bny5M7GTHQ7qQ5lCYOpy6x1mG9fwon8QCQ90BxzBg7EM4//mofzXhh+SvIZuIpgJJci+OX/JCvqg
hAfmPHoG6sDAC50GuJINt6f5K8O8daM7nuV0ZmyWVgFDyGa8StZeX9q5H35wEe2AXuc08wElfWae
psu7TaYlYuyHZzepaE7NOXU3zOxmtmmho/grrjrJQ0Q2M7zIsJH0WrPMtw5xBbdCwImsMbRIzs0O
zf/rv/l2zV+OINsUmOAVOABDEEYxaF769QjCpGD4vilRsCcM2sqMrXfo79i12FNOzC1sivjAJK80
LNff6wRktRdiyblviEm8xuSonE1qKh5ClPEKPOyl+U6kQA60cukdJxZ5mgA/Vgg0Jgxirrw1mEgy
y5ZzjFTBkqKpB6Wtf35Xv8uwvx+t/6Z+6xK91wVV2e1fxd1fFOD/vKRr+YP+q+m/+MQI6P1r/ff4
lmXdf/yPt6z8n/9xemtCHmq/SMC//f7fJWDrE5tBh4eE4PWnIQtN93cJWH7iOFamQwKUf1nOP2u2
pPokpEu8yHGEcpGHkWf/IQQbnwzbgoppClPqBBDF3xGCTfmrEKwZwsSDhTTwFwE4N7pAdByuu9oY
jS2zsPhcmeGy4Yv6a2kmmJ8RX4KvDlF94E4A9LbY1RBaSHAfUEKqLT5ndbUw/XhYrqHsjLGO+lng
xHB8rF2x4WS2p4xx3MINo4EvtFlyVXDKBx/nfVVQ0ZkZjItRYWCDXoZNoxns3TxYDKBKiLOgJ+NF
seXlmkOyXTZEEFIoEUeXANohn9m0y2W2zYhoHbOISbAsIvHqLjMwB44d4UxeRuMoGd2tg2C5S5bJ
OV9m6GEAREGBRJC8D6Mlr1HuMG/rDMwrIwNLu+WpbTy1y2gOekCjrYJRCQ6yrxdP89yMt6TM8h08
WWM3Lafd0CRXTp/0i5a38GNtIiDTTzEAg2n3FFvRSDqrai/zbBonNZbT1RVWeNDBFe6wtEc7segM
iR1OT13i2vqpCRpfrs2fysSYlCi3IjXaa15TKQ7Jt1sV2uCf1CJsmMQsOLONCpcNsgcdsNJzFymk
iPPkhWRA9u63OIZIURpfJtIHn4kM8NgheMyglrpdu3b6gIduVwIN3Ya2k0D6pSSbykenRTHTtMwe
L7RumJR98Ny9owoLokjgtubn3lgaYn1CsfdD4aD2OeP4bJh0QduGBiHDFMUbuQS6HjpZt5uGk2mP
v8C4l3bvB14QdcZDX4oRymSB9bKH+nivpXnGBdutyuA5ayYqKGHbuNp6tkBvEhWgOsULmQI5kKvw
ThkooKKsmZ4LnBeEnGyNbSR7uXJtxI46VWBGTiZfzbirYx2kWDx2RH4E9g3kd2t6ygOZ71iu6djh
S8KfLUvTzVSSKlqhGisc8iLkjxe8G8IN+THjwbYa/42nLjvCrlXqNGdAR8HtsAw+a9Uw3im7HZrV
7JYi2nb0XiITWOLCVqBlh+lH73RQU+NUAzOABSDhA2HXxynYF8RKVhElk9quwQjy3Vfa9CanJPls
96WkG6eKje9mKPmAhQGAC68eQ8CoozXo/JRw8U3fsj53JCBLE8O5A4ZjMfArWhpV1vtbQ7Md886C
dZ143eDMwVuXhM1jDj+FiriSS+SqRSCnJI63DO4uGlN/DEDuIQpEQl9G/aD2qiBfcja6j9FtsgNS
P6nrPvRWD5qDnXjDyt4fCR92efsATI5pSjjl+JkujeAtrIruKyIH4T/U3PvO5LBN694FZJoVH3TT
EsOQsKrlMuryQx+KQZx8Fi0AdmLN2Zku+wKW7m5XUntqyntVdvkl1SoAeKnUIu7japQfmH+d7xEd
cYSFEnzbaJtRfQdZujvHLI8ItNYsYtgQTOZXrZ5g9mtRbV5nPNebQljxzU5E5xlku75il+v3KV1h
N0PqcifaVu59unrXc0+Cz+loP2vEGLxQCpI2S2smUhn+2Hqd+eHotRXahc2+n6Rd2OSQYukf8lIY
6bAm9MlIKecENNzLuezXtabTfV7VbAo2fgr0jOhr8DmrO5d3g+4AWUzvufskjNKVziXPVNsKrRVQ
r53nL87QglFWOrm0rjPfVanh8ysEgazKsYnjqPlJRgHmIijIVNuxnjMimGGibyqPBl1jU6Gpb7D6
R1TgUUFqBaP5KuOUYG6Sqn6H9iQ9iVx+mzotPYVaNF76mdtG4jCKmVk5bygZKh8G3m80L3TatVKD
81hNvn02OyzHyh2mm+ym4BE+mwtn0s7pXprBfu0VgdZ9HlbarurtfE+UudxBkctucwkSamBHgX4x
pwODaoW1Bk4kbKCqdpQnjUq+TuaENZcESHUcxvZ+hPkLK6lH+gVNhAI5gmB54pgeL4Ia6686fRLP
s142K9ttKb8ZK0t/mdI6S8/1CFWcSHIR/khjJeQOPzmkzAgpjSoegUyVlAHBoHmqvbxuweDKdrwo
I8Wo4+ZC21Jpx8AZ9YN9n43SPqc1PmqrSXAs17P2AGG3AUHEvfo6umK4tWHf3DdW5H9EdaN5fuYG
zz4r/q2oUHSozA3r7zo9dOHVsPv5TWd/cOi6Sl3bZCbQqSeFWucxloIaGOIm4MHBgqPLr03T9i9G
E8Tbyhj0uzEqg9dyGvBJEeo6xAOZFZ2Q065KZHnVcRO7q4Df8giMI7+GTjtu8kwg0On8t5VqZPBo
Vi11RKlZ4EasnOEwUfGAd44Vjr0OWIS9GXzeatC3RgDjm4UcHR4RNUzQ1ejPtOQBMC2BwtoJhqPu
4KHpM1werqZ3u3qOhoNVVtk7sazoQCFGcs5KDe9DRmFFOyNlQkcmzRq0FYQqDtcmhAkdLUZQKWzt
Tvk4+DSaGJ+a2O3vqEqRcP4nzeMRBFb34lCcjLCQHzCcm5txbjqOv9iyzy4Eut+0pr91I/7P77p/
vur+r395af6veCPWhcFV7P8Kzri+BW/pW/7xy034j9/322XYVZ+wLsCFEawepcQB8Y/LsMtlWBqm
BQuFG7HDRfkPP4RhfXL5P12gU4apG9LkN/1+GTa4J7t8KQc7g7XYIuy/cxn++Q39SSS0HZ1ZD8Sm
JEGtuJYLpoA/i4QkAOxCNniW7b6Sl1Z41kQUMYhS7UWWOrtno7IPJVHKl9xkW1wpwb6CfSm0PHMz
xKRSdG06+XRKrsSA/pEumk8eud9pFyHjqBsPEKAM4D3Ou1QxkyqWv7UYbdDD6b6QMRc1K+UA4EtK
Vt4Ap43jULCZq/yBzotYTXtXN9F1NFruosxqD8r2XzE3019tW4hQBdgrvaYU1kWHMjuPrC1boBri
RFykGMuXXm3by5U7nYRJnNtpTmmqbesqfAZzfzFEfQjnR7ZKBv189r4Ze2RbAeZuGPAtSgtSPOpC
UOdHoKBy+bTPTbbRou7KKKGyFZlr40j82wBCuPAhSCKCVdWSmTMixEsHy3hjphralh3ZxDvbt2BO
onOSRwukMiC1YoasvTBrPoeJY+1lF9HNFQ740eNQYCT12kjWGtQ7E7eolRwwnfdHp06Go2G7zR6q
3DaveDKuIheLRRbb4YkDgBLfEk/caH8eRVuec5I/a1zV0S0TwmAtFnyEotyUhKEfqWMyPT0Y/VNM
JDzr28aLRDMdbf+WgHpYdijWA8F3WNDZeo5Slw5AhOAMXWw10TPSpD8sssIY3LVDEgWgduvqKcry
c2TTF5gs/peyfcEBeS0J8Pq8mHjEPrsVASKAd1hxQ+dJWxqATSa0dd0k9xOuNtM+BXNLYFQtruzu
OEr/yTTafdJhcos6ChZh1xkka9mtr9oq8ZCanH0e8QuacLBfcnUsq+4j9we2t5EfEXKD75FkLG3w
G9ob2nQYKRLChIlrJms9mKxVlxF7lZ8hlIPz1CfsClVcrfTylk++OFhLtytuzlfXKrttknfJS12w
/tG6PDtlyy/NZLwGLf0uiba3iA0ek/YcQXU5OpK7z5xjzFYVR6n9oIopoQbseeClPpltf7L0gQGA
65CHUl5vCyf6YDnubCXuDlZP8QNIj1NhsnEUWM/dKLq1EwykpqFShGYyO/RLr84i0vdl8qgCh91X
8UOzRQeJ1A52cZBbm3hOhdfoyRs0ls5DfcHdIF4hEFiHhVWvOX3rcYXlelO1Nw49qiXx9Wu2RlNh
aG4KZZ1D9Xkqe+1hyHSs6GlS7eeiu9gwMzAG5OK5ohE1nkpBxrmGVhwOvLPurTQIsPNmWDy6EFrI
VD/6YdQfjVrj79PqZBwXAE+TrjKXn0I0uiZfhFK6Oq22aW19i0PNuRgjTDBLZNE2S8SP1CZY5Nb5
Gptgspd+DcUDUsCqn7VyF2HpDjMrv9ARqR3guSLxDyEAZtDGJIhGaX5Ncw18ww+MC94Aa+7dR5xd
FQy4GShVO+kxJ0ctSAhdBNuBziou4Hq/i3PKGTrXbA59Ib+UeuGf4PFdwGz47OyICc4+pddzEBKc
SbRv2cS+gZ7kCV7BOXM7bQ/lF3qL2/s3WlnvYit5dUomG8zJaiWkfd8bBQz9GnCDDn2G6Cfvrjr0
qPo5juMElshWMHei6QsjMBQQegOTieK/6p1NGnxLSfS1SdrVFGjxDs1tD/F6Dyr6McV+d0C2Xy9s
yRtdswQciocE3WUn7JkgJDONZuTpmpUEhHV638iPuBu74n7M6JVy43qLuPIPOFrp3mnLncBBvTay
sdh1OlEtJ3io4bhhy6LYe9CI9U8g3TW28Py8gCfW2hkL1ntT6DHQgeoHk5tXt4VcCTWMxJCxVkXt
twTNE+yyQhTBflLrOZvpxGa0HcOtDMNXbc6+ox/6G5O8O6YvSc/zvKk7Xq5GwA/zY1+sKpnZB2ox
vJa4vtnJp+XfTsJBJmnd8dgvQvWIh306iW+Oqd+5qgu2Y6SXO3L495jCvxep7e4s2oZX7iRcLseO
fXC55R7SCZ41QKea1//gGh3GtuSOFqDkeXSnr+zbBMgf+V3lOJdXQ1i+h2UFWqKWOvEzWhJ6Mbt7
q2sPAHeMx4ma+gsOEF43apyosdDfohaWQNTpNgWEfId20iT7wL1x1zZugRXcmqWCuLFtjUg2/5hV
EvDYZk2b9DOjEZUbN7SnwgtK8lt2PfDL5R9dar8kcTLdGlkZKyJL+iN901CwMP2eI4O0bD6JQ6+V
mGXCWXubfUD9Uf6O+sMzqzORYezYWUPOfhwN5RyxJUKeF2TYZVUT/YyS8D4Cd0Igq3qdgSp65H6S
aYUZerz87L/IsFADUHSgh6hpmWwz+KqBn6lL0TUm2eJOW7XNtibf8wHPghhRGpmPZEunrQLvxYJ8
rC6SUNzGqMR0NFyUKJ5TvPADa0jXlP03lcA1IpXiVkH7mE/AJ4x2sh6aHguQ2fuC1FUfnxouFTcG
vNaCa1G6JYBphyM3q3smWVbLqqJQJmxl7U1yANEcFempdqvWU85Yf81S/UHii3ikuQzwVRpffp4t
5NfjEwUD8cmgGPsI4ZOuwPHBLDKLDMq4g7tZL88gGR8VDXFsN6bCfNPyQt/gEkwpwXVwoxrEscOm
vWVFyI1HwdGA19V4rlGXF4XRYzkq8/uAAgxdV+MPd2dmNQORL3imLghcv9qQfRl3CSIGfRBatWuq
7NVq9A1v4/hAo8ZhLIsR75ukZD4mD2envRdx0SLpYD4VemPRsoWKQ9iKqaqrGISEm2X7xmdkzCyW
pmabT/dlgfsEhuYLb+KLqYFWmMNIXkBvjttZ42UHlIGCmtIKVNGbSidpqXFS2eI+CyF6aI3PwZ5H
zima64uT1M4OqmzJOVwEpzqxqE7u0vuJa/EJZxCIA6yNHmClmakxKzgRZc2TmrQ5iKH4zNBD+0hN
ID8xMaZlCyJiqsNbgGe+zbTxDntLtEJ3rXaymHaR2cir6xvV1W6hpBk4B9a+6euPBYyOHYzaJd/Q
AyWjsOVpBCfrtbHvPpR+TaEYn577hsur3tGWOuYF2VfDy6q22sUsrNdGOBOOrPyT7vAV9GYCJO1a
eyPxh3Ue9qRr8xdrlhUFBuaZggHHLS9pOFzzub8YSw+ETEklUPO9ntr6W2qVRxI92QrIAhstf5jJ
EMHgLzD7DSNUHjbz4Eq1ghp3CE9WN17chXsJqWKmSDPHpdHaz5DVh2vanedeH9dKFDtJeSsZUrwM
wYBVSw++TYotSlGnh6R3NE8Ob07NiiVsufvhvnzUCdxlorhm7Rui+Guv0D94fTqW0ts6ZHlphyyd
LfuRYpz52JYt5ipqHlZkDzb2mH/Q6pCs5sxvPTma97Q+sr5MNMejVxUXL+Uzne0+cpl5KSL5VPXR
1sxDHmyI22087WG442+ZSHiAB3KktorpL13XZZ5dwemvgQuEh1KvA/IpcMEMM6MJmkRBBgc+tVBY
9G4YPMKpEwrKqHllYqf7oKrfAWCmO2MhZUTsiM7dyPE5CaQjmmWbzWj09gNG7w8wWlGoFz8w2LyL
ceQlIHpAai3xL6r8bV32/22M/mXY/u+UPvhtZmYf868XUJe3HCH616XTH7/t91Hb/GQDQ2C5qizT
VLz5/xi1jU/Mt7arLJ6SroX5/5+jtvoEt5W0gjCFIZVU/KZ/jNrykyPZU5FX4CsyvP+tAIKj/rIM
ZdS2lVK2zV8BXINj/QV8qqqGx6CeuPsOAzN9MWSXYbcYhERRcM2sQemm8yrnCY1RBiaEGgkKSjjw
fFee9PErxfUGc2K4Eg0sBZKTXkAf0xq0NDydWOvXKbtiBq4XXyufjAE/GXbOa6hxt+DzO69IEOK4
jRkaqGlYVQsiHZsiX7sPbiiNJnh23CLBQNtxnURHljwjWiRxH1ffxtjOS+3o9lw6JF3WRTrXe7qa
7+qyd2jO/NzE3UMczWqFiY+HFEXuA8HauNPBlqTlFzzaFFX6DCl+KA7I/cNDz0G+09NAeLFZUbqX
NnfxKwYGy5udwEHTc978Nio3otCfJaCCPHqz81C7ZWzqPCIMhwYi2dooGvGoqieKAPlERvckM7x0
irANkKMNSxvlvNAph5M6e+4xXE+9n3p0Tv4gIsyDk6usJ4jm4tEmjpVhel6VE01jsxXq67zWHxrs
JiTlSVxQ+blxQYZ9kS5VW0/0gUOcm6ps5xbsgziKoZMwn1uLQRaQZ7UajFfScNWd6khCwbThh0+l
M37D0eucztmFCc1zxMoh8iMgbedz1tvixNIeA75mn0oizpr75GqcNTJICIVNxVOo2b1n2Y1ad4QV
cJxT5pKlIDrKOtmxFXzNXEJoDBHhLiqxLPug71YTajzgR6om/BFHZWFwmanmEjSd6xzsRhagGR2b
C3bzkoIdW3USRVErGuLVPKnXeihmz8j8d5TXhpVL4eM1YMCkAwO2GsTRU5aUF1MHpcCFnsxpWz6K
DjFoamY4W3HY7KPZJMJS5XeuESVHTRqP49hjfUpG/BjPg18aJ8M0qPrrwlsYu0DEOU7DFDt5JBC/
gwhbC02BZUMgB3vukZJIXqiUZ3YNkmM79SmAjmWlJfm+K1p+GsRpZXPFjJPsGiAFwbprCC07fDEW
P5vSxMaJ1WDg70CuZbAAY6u5OpTmsA/w5q5nUbWb0HXkqatO9D4kd5lrfnOGiQ4MvHOSzvMdr1q4
nfip8B4j0up2mBzogUpuqntJYznsnKG7zXU+4o3WudGG1sqlJAw66tJFmRwVckG+6AY4ubJTs2gJ
6fJLf9EXFEKDvSgOAAvEodFvakKCCQd2QeWiT7iD+gwEMbHBlDqhm6zxqkOXV4unj29xk1CMvDEW
zaNb1A8idgHEqPED1zyB99DgJCVhBKzU2assBdlUAHBDuDoNtInDo08RWhSCy4TwIszm6Ndc4EMk
GQdpZlb7BqGmwAS/toPQXtWl/9SyGGDvAFGdKeWzX+JoyvuzhfBTIADRP0GVAooQN/+zQ1ONntgB
PXiaf7ByVu3ie2UqbtQyWcEzKlb9kuwHTSjIBiEbWuphKV7H2HkDvD8RhUGnAsUBOCj3T5T9mbjx
w+HRnanKUO677488WilxvMVBwz0sTcrz7Mb2Z1cCNg+DS5ZMIaqLSK626icdtozcdqlBn9kisJGb
74/KmBIWB+a6+ynB2RM0OzQ5Y1HnzJ86He70fZGH2XOjXJ/YspPwCqLshYvGRw/bG0s4OskX/U8t
SmC6aILypzyYLkoh07JFaTDcnZTb/9EwyVKucJ6w90JldBe90d2EiI88hsARkNYoEn1fO7zlkrqm
g1qq/eK1ZS/8SOPNwULSrJA2EyROE6kz7BQPkWw+1ZhoSKSsiH2kDJ+QWBadVHZeveim5E/EzjHy
t54+JiwGZE4ZUF8rbWzpWweYTx6fiaQaJ/ZUFfDCzv8xgfqvMwPJFmcz7ZWor4aevjcKpyzPcF8a
BYG2gOIhtN92EYED+kqWCB63N+t76eN4C/Eoe4bFy6rX4ymwBn8zEKDaSM1ED6ZwdhdX5UH4pf8y
Magd6rQvvWJRo60c8iDqktYEkjDKV7HcyOrlbob9Yobvkb9j3C5+OPFu5Bo3Lfc5d7nZzcsdr19u
e/Fy75PLDTBd7oIqTfPd6BTIwi1NQaWGyc+YKUpdxgfwGVSeBtmJXRw/KcmnWY85W4iCyEeNfgm8
jnjFl2s/HnhOGQgFWwcqkQcoyD9pok6RRRPeSWGNiJWJpwEDBZh8C85S29HQZs4gvxyO9ZLcEiTu
ejU4wH7jmKLaURwyt+GDbIOEATx1lzZOxz2/3nM+t/dSD4CtAbau7SxYGTaCIUVsr1lhf0+fWc3x
HgJKyz7hYyDI6Kl2XoeOkx1zu78yb7CvJpffUkA5Qc7AEHEh9wydadxT381MMK3xGmdrN0w8C8c3
X5v1tuvgJzZ07Rs686FCkFrh5z4nGv7RMBJ3IwbfVV3dFUAglkkjingWBrdaY7DNKPBmW7Vl8Qtc
kLg9X4Fl6GkQvG6MoTm2yI0dsl+gOfnD6MZdDJlTUtKiR5e5zA5te1a9kkzIRbsqZlo4lNhCtHxL
g/BC8px6peJDq9U9cb/1UixEFn5poCnFaytx21Bgpo0amXsdMAUzCSJ+BxYgaFjmM+Tn26mjKIjx
c536tAskWvgddfg0Ns0XLAtIeTydZktS6uVA0gpGlgU+fqhzz/1n5ZhJB6Kq9spa3elj+4VD/b0N
IMbOBNoJQ6XXVmjU7Roap3PccXTHzbmtop0S+Y9cyY80GjfIPY1nbLUCOT2uqL4I62DLwLWmpC44
BcG4Zo9/FnFZbGuuGmvGOSqlzfnFjDV6izsSdIxumCSKM85RMzA2YTfql9Bub7QC0bDRu+dU7998
HdnFbrRTXkwuqM0hx/gU7jElMELl9cW0xLCukC7ovrLiQcfT3z1A5ey5NIZ3c3HqOj2nLcl6MKho
5D1C2VfAz1LFHOa8W9/9BFI3IzNfm+K6LsUD0mgJ+SQDNa6yX2euMdtC9d8ilFIiLOeY18qD27Ut
5/Kpj4YOXPvcbxznotEBrkidFWX/zUpZVbUxT5exmrblNXN02jKlYnisbiaCz94sq895qXOF5iv0
pY6XJZ9wERQ8atrpTlUkEiHHr4XgdihGy0tbdTf3YvR0yUfJon8V8bnoAUTWObQSmyNXp9/Mi4Mf
XPdEZYeboVbZVhE6XM2Syj4qgVa1wcXPiob3tgyfcp+LRqbNd7ax5TopsyP/GQxq7IDVRqsKjMR4
KMUhlyWzu6DXqeIW5BXSFpuSwMIO+uhO0et7DJYmqQL1k2rpodxQlUAvaum0pyBUi/BOlG6o6TUJ
EndLsWzQ9WqFf7z6lpTq1I1xdwyqft7SivrTxCEeC1fdJcL5nMd2c0mKWT0kOWjIxLzGc9DcImGb
2zCdfsDVxlspneBYEo5uKYQrHaV55B++VXN/YpmUrHqpUaIeTnxoB5u1w4sb5u6RWmw7mnBhVJW+
YQB7EBi0SNZEmJii6guX5mk72c0j3Q8Q70K1LwSwimTqTXThmy20CmK+c899FLra0HtNjEPKCP0X
d2rOg8hObFwhAshpOM4YBymMyactULRbnmXfMbO2Wwq7S6MtQPEv8IblXpyMbzpZZUu3IWIBwuQt
U2RrWUUf/C1umCGwaGOqahVGu9HJsAbP7i2Juo/WrDe4lu6rgLsz0wNGcUaIEbgKyw+LSutKzZvU
rggHcOrsBi5CuhOrC3AuYsdGQpl5UZAGjqG6VMJ8mZhNeiK1VmjvoIJUnpX4b1aqTnXbmuewiV7o
2/SvbkCQyq+igyA4htJxEamW4/mT/tpJg72zTjBzcBUiHDQEMBJ6iPBzYr7RI3aozfo+cqNXFJUb
bsh4HaUjlsLsbI70I/FpPOtNfozgPa7GbOrQtKZhXeTS04tD3zvzgYrzD62v0vXoG48yJGIGQHtc
BdYC/Tfe+N8LfNvd1HKeMF7xwJDRQ16OPB82BvPFStR5fsb5u7ETrLl9ymXcz/Z/34z7/2I9+G+r
mVgCW7WpYyD/16LJMXyrE9qQfnUo/PN3/qabOPYnVzm4pPCNyMWH8Idu4iwWBezqJgLIb2yG34EN
uBAMB/MQDnZdubrzJ9FEfHJxJbjUcajf6kL+jj/BMCXSzJ8NCibCC/UhDpfu5e9IJv5Xg4Ke6dAS
aMljnL3iFbQ2zuBWL9Kdb3hIu6upcTFrQXDXhal+NJa7Dxqt/B43zkXlxbZ0bOpMS9ffWZMYngu7
fZtLOz+S5A08HGn2Nmop065idnBlrvIrk8FX4FuYpmLqEeK3KW8TL+vYF8+mnO9Va2zJLEGlhtzz
Na+edB49b1NGitiZM4W6nD6gTv0oRZUR0acItc7VQXdhOekZoLfZBqqeUEo2mMM50rq3wm0gzGIu
80rK7fiyTbfGV2Z42henrr/0Nek54LwotvDyMFRzjmpgWCDdtqmWXdjARquWi/LCwf0QdrBlAYs6
4oCNoEKNDJyJG4GPLoxrTcM2l7pOfKkNWOtD4H6EARnmMeL6CZWoIgzq1NkR4iGV3W3wbDpfYI++
J0jIq4iwp816a+OzdyymMnsyij6E2NRH14wAzNBqI3frxv+Sds0OkiT3vlbU3Gmjr71jqG/cCC5j
eWYvKR991c2XGfR2Q3nS2iJ1foqq/Ghw37sBrOmvYY/rQ/5v9s5kyW0s2q7/4jkqcNEjwvaABHsy
SWYyG2mCyExJaC6ai775ei+UK/wa+zns+RuUoqQqKZUkCNyzz95rr/FPl1cvHKw7MDGD/YJ2GEfP
uv/9S2XFSpQi1lUHqwqPHQH0sqSn0rQxCrKryLexZoZ3GMDmmujs8J5lgGeUjOJDX9FOVZc9oxbG
0lcZDdFmcom26HX3OuE1PlN0TqhIS465FulHd4JFbnX2a9kT/rKdB4m6M9u6kRGv+Yi8Kn2ZSL0e
CaQyQ8cAGK26+nT9N9NEKycT6/8ychHAZwZB38XRqVqAa8zPhLYFYazC2VkJXLOiJouadprD8iKk
Q+SJRUnyZI/+2yxsLIpObgUaRDUtqqv9aBBo7FmC1yJnyzmkpxQ3xppjJ89Ko7Ruf/9gTWSomX15
6LWefCriGfOKIX9MYyO2ZY3JGQfvmxRwDQH0t6dRdE8wRacjrgBkobT/VJlLWAsa8Kpy03tYuNha
p+w1q91L2I4T7dgFBOB8OmKLAxat9J8tY4+tj/ZVbxVRc7Ofdy2aztoY0xi5ZaBsCnim2RJx7nDY
AP4mEDs2nIu6deFqdHlp5nGQ9kY4PkY5l30zeSR0OwJ2KGZDqnJ2xTxko5yGLXHLOgpm+kij2Ufi
ZGynsFq5I04JKFMg9NvlgE+6f5/L+YN18MntqbPBKpDUjnOeND52Fn/bnd4s8dXW2HOJiHM6iPYY
S3mu9VICU7Ljow7k9eSLYosJgTZZbJKbrOvyn35yLehjt7M8e4PKa1GEymYipVn23toKoFOkXvW+
34GCyVaxR01biA3RN6OR1SYg5Eqf1bIeTtZt4XfrPC+GY2tQTjO26dWzeGJnnXqYwnpu4y5nHJ6o
5aE9NgPf+qLHIJEcw8eak+MEN0v62RJ3DwU6PGXKqZ9ik8WSz85Q1M05BryMy9TeTfRxvsymeNOJ
ydoyxMU5EcDttAlqRtjNRyfv+xMeULj0A1ujTFhvakyHS5HIoMkBklqhD/ZxB81BJ52n64fWVQZm
IrbZraef4mEyt72Fi2WO/ItrU+KR5clBoyL7CJ7srCd5trdSG9xlY6zCHki/My9x8IhjiJPE1c5C
KuuZoZ96Z54CoTPbe5WynhJKjVD7SMRXkPOYt9N0F8F8fcVrexCNszJHEZ+zhDupGzbNARMToD1Z
bGyMr5e5Mqj3KGkJMH40Y20xBYiFLegQz+5ouwPa/ZRT+Ek9zFJCHz5pWmc99SF8VYuu0owDdEjz
X09NugDNMYf5H8E6Sau1Qx8Z30nVQ5duYLnClSjKE6/Cp6p4Dni69memDxN+EBBfIYMpY25ACflV
58PnXHNyA7LwiCVGkJac+9AwSnH5vIwmam1bZMhEYhViTqbxQ35bpooCbjcPvVMvfE1y2z/VUMML
kE9xbuwTGtbnW8vk5p8mUasNeg9GgmSnqv65Ut4YTHJW66mOwPHN9rWtMuijA3s/Y0B9IpmhNOkf
O0d7hdIaroC876LauomRZbMYaQECoHZLDbSRngebFSaHLsMJsfakf5F55F1MyqeweE2Ol60o/1jD
PGu4vpzqGNMJcXThj2w8C2QdY6CRwwOcBePdQ0CpOPpmfUuM2d2H8bArE4IWaTj8dDmEj201faQ5
O0QiPoQ36azf63YbyEBxL36B9Ei4zyeWnmoNgl9DfzwsZz2w7YYG02LqAZgzG9lUY6HD812E0X2e
9LdqiGiF9duHqIBOdkaCHUc6124R4kubQmlSyuAdN1kPWo2+PN6KxKZ8xTSG9ZQlD4l7HPOvvY0r
j+JF1IU55jaV53QdEtvTwBBr/r7yrXdbzOICf52mozD2L356bkyUknwuXy0LysGYUjfvhKMXgJLK
dgMVsuNSNRG2RC/yUtgbnZno6AtYgm+94yDCATIeEmK6ue3n1EN5KPuhwTcZlj89UrVmVeIhsLgp
9umty/BdksdOIrNCuk0f4JUrTGFs1JGBsB80AWssep1Kn89BfJkyJOBy1iA0uI9WWiTDbTYT1iyy
tcsWK9+39CNBzMa/Tawfv4BhIjmm+NB9u95K/bUruvJmZPwneq3WRKfnoPWGNQgdPYBhFHDt9Ou2
hcxRg3kgizBQ3XvNhoKNjUMjAQ812X0R7VdEk9ldtxRJBNrVT1tCMIYjN5ZZTTuOMS27J/0R2f2H
HzYfnBYwgUrkcqzsBxOm1bqKUrWmxu3LHsozLc6rqlhSubKn/brqA0ny1i7ZvricpIxN3Us4Fda9
4Z9BH7ygsPGgT9mX4iw01rg86I8L2jj9SFbNHlKXscJi8yKUs3caq6eqG/ZQIfEq2GLaAuKJA8g5
u1p3yc5Lx1lriD6a6M0NGPPvQotfOAN/UcsEggA2jmvO0JeA4JC9Z85DFpcGqRqpqAWOiZFvgSBD
C+TciKUCoens54hzuVvIrUbNPBu/X5pD+ymdRr9svU3XbLnioxAOR0TgOToGDZ1cRzVpBCCqD1vB
kahd8yLD6Vh1/Ulv+6OTPbmhcWqkOhaR06xGJf8YvPq6jtZASn8oaLpBh0xXDmW4dTcCxpHZnz4m
EdbCdDGTlGev6T86v/poa58KqInQBvr4OO/6+Ty5JqGpN7xXDrGRxF8VBVmbMP4qXW2TTItRwSip
nW3QStjW8HVcwEvrcgSRVJqbjpPhPIYbCk0eymQ3NVvRH5h0mwgrqmc5RFxqfo9N3xaufvGoBrWK
4nFTtx9invd1W290uiti2BEUDBYry0z/GKFzKHMPI5HmPdzIvP/97VFDQrRo7DETR2ov9fQ38BAC
5C6JGYvqjrQJH+HYGkQIjMMwR0eMD39Kz3x1qIHCkP/lkdtas2rAlT++VfH8E0THbjDmR85FRafS
Oa7zlxzKo2bTUW7c3V7jDzTudpf+qTvvoHfVh8z5kr4273gVQSTznVmd++TW6Z9WZF/s3/7MWfeh
kwVeNQNAePNe5OFjTuWfup8+Sw91hA/llxuFD5tGOOX4j2RGVnTzc5SlXzpyPz4Z+0k0Fj7i8FHn
4DV67bdaGtryq6+0R1I0H3kRQQtKvzqVfXWW+5zwPhLD4TMFGv3Y8JtwFd6X7zQbki/fNO6hcg6Z
MwYgUX6DBtlh1aV4hnWhM/GYXL6+75Ar0uZk3dBuoTgWc44t1xE6BJm9emcp96uMGj7vZfVRFMkX
oOMgSyhszM5Y5z7UKO4kUTaub9zJqfO0am/Lt1dV2Z828w5ZzeqD9M5X4fsPKjm+uji+x3J41q3y
ydg9RZNXY13Pj6SfYCMfCkJs5NR9xWdlkURLW/1sDG/lhCTfxim5MxZiz2zejYotVz1wKyl9bUlj
8aQkMLZ2RvXcMBZU0J7Wwqq/RpyoS0Y9OpgDNjpBfQzBZ047+GGn+ouai1vYAsONAGGs/NC9SWWQ
ouo46iyUDjPRf/Z0+o1yQe0bkwgKPf4eXP82j/reGQf0w6LZpONc7XyZfNOYax09Yzjaerr3WpNp
I3uPqYOmrr0BC5q7PBLqUVwW33XDsrjSpbjUiXwyO7Nbx6WRMoGx0yFhRVl0XDUrD2cVvr+akkNV
dKcyT+VOsgXlyOQdqr6bjlQgkU8Nk4TmuBbiQp/O2yzXdjyvuu2UVrCWk/km2jHcedTZBLEVjTd6
ObbTROwGGGh1Qhpmnp1z+YNBeXCabxybztVvFz/2pIFlHWvwz6zT1lEnq6MhARcZ1Qu324/K6tQ9
UceUl5xPqI+dr5zcU8x01FJlcfQYH7RugQVRtBT4dDqtDJ3+ClMq/2DnCbkvrT8rQ2cKtzFni5Fu
e6S529BQxq6G7IfRFUf6vsnewMLp6CIiLOFih06whovm7kXlcC456OLkTmhWnsRpjPv+PKj+QDY+
PHgTLaBxvnXzwX4CyIJQ3AuxA+NgbkchwzUcHHp1ZNIHwzQyn/jVwP4FHlZCeR98Jjb55U5RJbHB
JSqv/MQb8l2b+fi/86q/IJb0yOQo6YnRhQfs8g4Gr9A/VtCJfUDP0qAKexzfbLt23yzeGp+P5GZM
nHI/DJO6dpH3FqWi3kyzkRxVl7zDXOHrh/b06nfDV9fWL1JU3TPS0Hceh9WZDlH6n2xOiI6MwqM7
8KrJGRdW46lq53UdG8uhti6mXx3SeEgvXibFdiJXRk4N8oqte+YhcdpkXzqRtleC5jnhNAeYJQlt
b+RRXSi3Tw17ZBE7z6HOZZ0oLTA0eYPB7weaTbmaWpajVMRufBVCbSt0uSurXT7vqzSmI7PRujtl
2Es5aIPvn/ChWXeBNKV+SpYftLz4bSPV7qwmLXc17EKWcmIKulLj+hjd5IEElW5SKPE1TvDBL6ad
VobZvpEFS0cyXXUo2xssRqRlYz6Hpr8C0M0iqvPEK8z+eq2ZziclJJgF1Xiamg4wSqvybepo7V3P
4wzDLg7IJLHWpTW563ngGKJaPzAi6LgLgWcgULNu+oinIT7nLDa2eda+miLS1nzdi7CjcNMgnq+p
ivXOyMK8BUKXByKrv1nTez+Xf8G5HCBRIcNwnHpJEZu5k2M6zrTXTKcEEuJbOV85oFy0sQDzE8bR
jsCi/jToiENj7H5wA8S9J0CCFyMU5X4mtpHW2RbDC7TpEPnNjl+0wnfPbiN/pRHOIrXUrZCyRHna
QDldoiaM9qG/+Hwyf1Wmy2LR3BoeDeud1k53jUUgPvFyIysSqbT6gJ50TfuETwtvhrpqlcbWdF7Y
rfgmqYR5lJ62H3R8HBUq4gprvzhFU09sAnKMZ1rlukr9cu9o080boOUsZMh+yeZ33oBTZHxL2KNu
Ra2jnEgcT23aaiBEqh92nUabxmZR10i5jRCv1pOnaM1TjlhPGq99okUSn9BwzBhtLvE7gFJzFxmg
1CydJt1ByZ2r70L8szQtgXXlnT+huLz7PQvfiCeAmStysywSgxjOAEjNuQy0dKp3fTugPPkVtQh5
sgeNz9E+JN83dzG3EmKNdsY9dVVPEDZb/IprL6oyBIXMYys8zJh4soQO8N5/+vsHZxDGmpiER0mU
h1W1Yf2s92zelU5dmxX7FKvMGLFtirPY83LQnE6OHc97xdBNzWx68XW86E5XXSotLTdxv4S0lh04
eZv46ERPBNadswODLg29HoZS/XMcrH0ump1JHHdFLQjn3ug6uSnxc/Ut5iQK5iwm4BCrjZZLe+c1
AiN2QeVZ3tSvFlVuAfEqmOV6ecPu/plqBjuEBEXV7XV4plUORl3F+zmbvzWt9nko9Xym+ECeLC/U
OXhNbzU+759iKoqAi6E7eW3ZP2pmOh+bGJFwnmsimwPh87l22oo8lWi0bVLSloL3vQoGfIUc6rKv
rKMXKpT+B8gUMITeVB8hEfCuVb8ar5GPTJdvYFDo5BzL+3siVc/sT8IoLzOEWxrcDqHhfJuD5LIr
Fpy6rWRAz55DJiDhHiysh4XcRiVt1B1s0R9dqGpZ3D2E6D691rf2rT2TRounK5W//WnqanF0ZXbp
Wjc9kCrBLYah+OZa5V30tbXLm/JRZQh09TsB6no/pDNFcTPJLXuaw5e/iVp9kxTHqsmZQzD9td7S
QpUZ3eKBV5tlA7B36NUtItSPxnDABett9OxqL2xQOzR02nprt74koc2CnrzLuhtzAbuVBKudHKsp
3kubl2AomrPQUrpKAAXAQ+h3iIewISe+21z1e6qTNF7sG95EhvXkXtWJC2/QNpBZmrOjXCRsdn4T
QK7AdeiTLZ/T1rUPKmmTtW8mlx7xU7V5s4qb2oYzl3+6XBdrPSOcPCBvQlLVdgbDAZ0ahc+6AFsT
8hZOlxw1nKSsf0nTASrgl2i6d5EX+XOZjoSmRueXF1E+rAounUVyIV6UNZ9VJ/fdGE9/UiLSgOZA
5zn1r7bl7NKXIhgLXaNEMhyp6Ygc6pRbJgXKjpw0vwzYJKgWdJut0u2vQi+tM9c/WwLTOULkuJZ5
Np/LIWUej2g+pgcN7iZHIpssSoyTZl9kxfxU0TIpVSMOsLKwg+VNt9VpQA90DWJHbLjAdQeNA2qf
ya3pRiQ8aNWbI7PjjOYrZvTB2rQLWCwcp+okvTI6Lj+DRzGeDc/m4FnnhE/q8NqzcwA3aeZBnHBU
TLBaHIDxkKG34LHjCWUYZHbH1dhTVlQOJyPCCIUjnod8YXyNxM4RuL3o0LGcXOcxd8uEWyRXUhY0
U5fvXY9Kv5yG01inazuihnK/lHJ2btmfMxtPJavXCkPsNgmZ5x3GiDM0jD8MAoRAhhh64JT8QoeW
T97cYWEpYp85jo602eegAZ+AJgQR0W+aQaJPW/9F9m67zcz8Y1QNq8meDlsFHHNd6LlzoU0JMSvp
K94MVAFWIrQmGWKHp0gQCPLDPY1z+yq03Y1jGd/2pIubokvg5oQs3tvYPJM62zWqENC8FAa6JL51
ha+4wVjWrrahCtYDABQQORyyCqQxS8ejIaeuWaHKqF1ejb+VnUUnf2BfLchQrFXXxWeWCHSZo5wF
KtMjwPtYhRLy73vDRGrB3QYuVCw6ChfJLgQ7QJCL6nP+l+QAb64PcqYHKrfOPcGNk+kmw9o1J7Hp
+5Bwih14Q2Ls7blOdq5HeLQzvb20KP0NhTWB8yCnas2cOB2aMxqVlFsb2feWqqcqDG9GmxXvpN/P
BvQxcNxS7f3wBHag3sxFBJRP7Eq3GTH9JFtI3rSFd/bFDqt3K0KnY21262FtrNxW6k+unqLJqb0l
fHlV44jX1dARTxEcoSSvQEuzQhinr9KP/X3e+ftCT8ZDpeINk4Zzgg3mnGQy/h7lMD/nLAiyfv5F
sM56teiZrWhiYxE/P9nFUrcwD1eXJ/JBZtYWJ0NGeQW20lTTCLfxMXHtzN072/w1waR8MfMeIiun
N8nh/FQjCaraqQ9Ra07HwRtA6wBkAfbpLSQCG8uuCwaj5xzFfoPjhGxxCTWjRGS1b1Qx0j2Wcibo
4W9hddLWyvYPwgrbcx+Chqa6Ak2u8QKWmQOOjjtrM3mAI/8eUT2+jWDHFnQH7zVH/VJUsO9ySTTL
psBXQa+u9Egd2oK2O6Iz3i0V4wb/Hj43FlCbrImGvcqQglmggveT4zMuaJ7n/XuHnfPDoPTLSduO
NJbIX8nfzGsIwvjFswlB3Pxq1TRuJ52bgbvok21YU/7A/aA1ucji/Dg5kwlxpP1DFSdxWcuLdo67
zFNh0+NVpHmEvOUF+5J5zZOM56Wiflov4FDU+LHzPj64IgEGp7C+gtC2N1CWfpdtmwfDEhBn+3th
YXKIxuTTFiA82o4k6t8XbCPZLLnuM82dVTBiBlr1XGNxdLALKwqa3oeJlLBenRDUplg7MVHaT5Hj
sQkun6eJZrJhvrPofJtL42uunFOzK8162Jbq3CBE8iK8lpZ/HXVxsCLkeseB7ku2ccq77dCFrEaU
xxyFrxGf8XqJi7ZJ+QLpp8AVxm4s9r6nKfkyqE4kh5wzn1d/gLt6FgObvxx0sD0N3KbbhmHPobxY
y7xNQzHz2qWurswylmIaTnJaZc4ZdNut5nL7jXWOraQG6ODotN+FRtdjnKruhPL44nVhyqwdVKRy
uIDFHlfndARD/FmbCf0mXQVUyuLJiwmksTqHIBG5yA5qRD1W2m3S6gd5Bm0Hz3zrMiMf4haiK9iQ
syiOKZmdU07nC2bJolqppZ5wVlXCJonSxCLRiTzzqrvOCZDztaPfIIwgdiZiwhe3BHcJ8nwV0m92
rf/UAadcV4R1Q5YQwRhhBRaWTRMW8c+jKSD+1qmD+XTOTiXd195gdFfeR4TomO1j2L9Nmc1qPVFy
7bsQCbR6gFMVYsXVamu+UKFL65lXJ/exUkxhltshgtj6Nucj45ax+cMvDDzQcfmhhx3Ll32jRd2P
znEvfe17Zxj0h0hfpPPS/AxLdiCdwJ/jQKUrzajdzsNiZJ9ke4T37u+HmJWSBYOf72G8trozvEBX
PIqWSDn1aOUZBulGyjrHjC8hIXnDp160dtBPuN4r3MUgJt8Ng1rhFI6ociSahGOuU+2PHc1PInSS
Q2Z9S9LtLLdbi+S+jZeyKYbtXDJOTzj88qjOz/r7wJHQc7ztsJD5Z25QvdCjTR3hkWXn9cNS3cDu
vgawWZsvnK+3ZR7pq76tsWInKSq9Vew15d+yn1OsU0bq918eZWRlXD982k63scO2XTcEZrHYAdOb
iGBwBAFk/3vUoMJUrpsGbWbtBo1hSVrkqOnrBRl2LTNH39OzbIGtXpWNRo3u/I0chuFNa/aSO7Xy
8T1YI41pbX0lo+6ENTZdw/nRdQpre6396pzwazJxXQqNMDLhyHMyJi+0EKRMkrCEKDdca1F6nIzm
BdPzi2ONQU0LNBioNWBBmnQSmoZI4SzleieTpcvas7pn2hqRGmuXbmidunCzGO4NR0yja8d15TZ6
YBLcDMzOv3VCey8m71ccWptqsVLNVhxvXJPhPPN2Yd0CeRrTAyTeRZNtfg/sgjaV63znJIhV/BOC
1Mmebbxs1lHzxy+6z3h1kvQTOtkLyHR4WlCudIBrsJeY+5e/fGxOQR9SATT5w4sT0m+YLM6OOB3Y
zo31uc1rKOM1BRamFxsbuJfTgXQK5V4gcA60o+zZoLY3y5DurmQzgIEi5pnR55QIo++eW2IECfWj
O/SwK6N0d+pRO3e6ZTz7AF71WTwNVf97qCNv4wilTrYVWsE40+9hspbXUCGwXhjmB6CcA1sy8ZI0
D0/vontIDtIwm+rFIs5dRHN1od3IuEJNRzyKdlhbCElEUXp2JyM5N6MOxAyWblRpZ0MC1BvNzn7S
sS88IBatkVRfIw/SdjY1b5ozfcYEDtpcsIMP6N/NTnYWkplFL2tPGDt+CmAre82uzWMVl89ehAOo
rlW66cxQfyL3cnTMuriHfnUem8okhmnrL5F3b2c3IQyRVjhJ++lFpBuI99vZtPMX03Iou/X7HX0a
nAwRBK208M8kYohEJQDDqPs293HrvOkldoTIqiHP0jGxtsaS1YNPDBaEqr48l/sdzRBN0IQ0RBp2
5wa8ie2RnH6xkzLdh1PyTENCfjVKupcmzKcQLmiHqviGj6IcNpTxCCaUjBlokMMqyy2fd6JJA5bf
VwB97qpR5Hwszfs95eDQwW6NVDNoXNBWBBNIeUe4bzoe5hCwvEMseWTeiwbDQsLNOL7gW7kyx8QZ
ikRW2R0WXG1DfTCwo+4VJ7a78+kNZcrH/UtBnMVdqGNf2SfTro7zazzM6qqUvaH1z7gVhmRJpru4
Z6kE+kmNtNYwjoFu9Lk3NaxiCqzqRxIxv0KsOHyRujiMESWMFko8JJUWvIvq3jG+cjBNSIuxd9e3
TlL7r8ywrm43aP5GuBEQGYlMdOqcsMYL+s6WZ+kt348keGp1MghTK71HQ68/qrS9DOzqjm3ln4dx
jG/tBPkPWtx7mtFPOMfXqVYxftCI+kPXvJUWiY7O5r3AN7swA62GdDwWyaHOliOvgALXsYyJVCd5
AeuKVpLMXBsaVvs4w6jQqGk+OGyrNx1yIt2qur3vFwaWKMV4YZFxB+9eXDqPgxwUnGM28bckwA3o
KyJsbOp7Wah3U9DtJjDHBxI/1ZFalzUa4ZbLtuKzzHIQ+5K7M90+fsqLXx1P8Aj834UhZ1xjL3NY
BRslvFT5zw9j05bHfJmU2s7cYYCOL324T4rwoONjIDmgHeuib+6zs88MW7/8/YNbTeuEXvOTTtFo
nibhUVcvzlgm/MGkGs3+EDtDfsCHNX0swwpWYeYkjNIbs7pYvTP8ijNgEAUwnqnHh21tsiHNjr2m
KpgShflq0KVxTPwai8ZEjWntaWylpP9a0jCxH7roJPXcP/PpLViGEvmVmVcc6Q4u0c8aMNnsE5Sg
bK2sRGA2Q/bKgaO84Rw+NS7nZ183DBAyYbhqzGykpIBcB5Majv2WNGDicNtG5Zs3hUFykWI2um78
6KyUke5sXeRb4Pt42fFmTXMsLyPLtpQa0Ec/eDTLDeMRXAGppyZLISdzMB3NHjOZ/HSHdrwOE9DK
PvgYmltJs8dR67UNBjGPD03KlJbl13zgQoFItm1S8UIwy3/1Kzlgpgu/9aJat1MRfeOUedUHN3ul
wdJlVuU4PgnvvZrlZ1Oy+Efbhq6J8NzkaXGVjaFvNYxFgZlr2EV03AB2JMLznFbDMw4ia9fEilVV
RBCvHXAEojvYyGFpvKGiMAtGCyiEo6hLyUZTu3YsZkhYTPMRXuOJL67dVKGHO5ifPwjQ7CwD7PLi
EvyIeo7/Y5RvwpJEX6M8Uua91zzNCivjbCBB+jlDXmzSulLUJa6UkM5y243QCJtjMxJaU4AFCuFu
62FAa+iNn5Juz6EllWKYe7+iPWmsFdtFq0VnY4tJGwp37WXh6j2ptvgzyWKbw2lAVi6+OR7e2moc
16kc6yCmdbgmR8JSjP2WMONPdn8cxa34mabFkR1wesShgpVTM/c8CJY6YE6Lep6e4/wrawp6aNln
T/WVTdC47SL4bw0G+YfmjB0vZDwgQHxkKs7OMBJulhwCY3APQnjmj8Zh99fr7edUeSOZoWK6clHn
m9jpk6VqkEguvqpozIL/9FCzU2+nx6R+/7f/8vkrT4ogado6+W7/d1ab9X8FH68X+3QSfdbx//l3
/k8Ltev8hUPZ8C3X9z0MBgvY+B/kMTBk4RkYIrx/56E29b9cX+g4pS3PNMlLkRdv/lf1HSF1AeTN
9PiA6OL/K3n+t0X6X4ogXJ5C0ILxjvj8LXBzG4Dm/jXjrYsdN+cCnXaCzyvWEzvBBlHRPltELjYn
Bsg1oVoWKFIcvTnUKLbBr28yRtNnoX8R8mu3/WikJ5yx91ioJ0MN3dPQ0W1iINxsW3YOAeU8yE2U
LtxtF+uu1Qwl/VChHajihROoYOk/Vlt7Lv3diFzc5/jXwmosr2bT0GZnvo6a7Hb4dZzNf17d/09X
9z8+fy7F/zgh8Nq2n/Xnf5gR4Pf+kxEQf3G+9x1UMK4h0N3kDv65wN2/OOvwy0Jwof8rsoIp/rIQ
51jrWaYA7W3xh/1zfRveX/wHD4qhS7zgbx7Df/+vJDGi3+W/wa//y8//ddMJ6ad/kxEgfShoYeS4
uJAcXB4F/46qP6HVmPaUoAw2LUoYFbJ+42dXE+MbZ8HZWmkdj7KmNXlkojteRiNpf8+NGu+wnRvW
dJYTIfdF3kywr0AhWBW2JtY6jsKV1xYhh0QODJamhRufYDv9NQuFK3J9/dtJOOF3KfU5/mLes0w2
1mLwlnBi72znOuVYRj+Yv0qyAueosdSulI4T2Kn3QyuygdiS8zbpzi30a9zpTYVV3/Y5M4DcfqK8
kcMG+tc6rKR6zCVlMxAPvSGonKXrFUV8zTyX0LYWJuvY1uXWylhUNpaCC9Ajw5zpEcAd1kUvlLuQ
ZY4wJmq94M93nReElJd+CN/G1HuySvQFleX5eumlhRMBjv3eSeePzXGZvxjAnD3oFOTLGaCz7OMY
rNVYo3XpUW3/MnBv0aZmRUzIE6bHeNNronyfDaLNgUo8yaKSxxgKtDuB/42dBxAs7dBGhnOXMRky
wrH93hr1qwME+hSPVvapOnrlJ7iwPBI9cvwmr7FbEObk6LGb/NDZmJ4Cu1ukw1nVBGKzCr+DVw+H
1Ch/5GmGLi74FS2Z5WGBTK11mlyCutd/NyB9AwSrF9ZxR9wtq6asLzRBfWFZxUvBKRULP40zRYZO
VC9FNhrCGG7DlotFJRerBeXG8jjmzQzdIGbpgUY2v2GzAyc4wJRx5M80w9CWQ/AAOkcoFS43uwV2
WASlJkXc36u7LdvCDyC0QH8GnJUFR8MtJoVoa5ktWCqlf/eR5Hw0glKr2emvZY5PfkjzEFu7771G
GFq2re5mO0KXI0iPSHBrr8uJ+QmKuW3EKfV+QluPHoFB147BpIWyDko4xrPD0ZSpa+bqzp1bHfli
a4cgxqvc1wBcJOG+dAG/GdMSs5sNF0Qwg4/JbueBTk47D/1X93bSdAyuCQJVo9kbLPXQm/x6xkCh
qRuekp/66AHU8/vuWYdsSOd22AOsJ2pHPVp/yAYS+MsyH/8Xzekb0wzTczpJ+2TbHOpKPeL83wrx
EyYWprFxCg9TB7rB14T/4Uq7O7lYK57rKTRPuh2692nAYB1ryAmN0YICxnu7tti8bWwm8qs/T6Ae
x9x50ZB3di0q8rpH9Q5iaWrPynPUPooJ82DHplGF+80tSesG1y+Mbj31XjA0ZjS0LZXfLY3jRGg9
iEAs6sDyFyts2tgdtaxTuKNxuLSU2rDH98JNrjwLiMmyk640d2/E4PbicIBLOIwznrnIea9NTHgr
R0sPXgsqvO+7tcGnHhdDWoWvViTNm0Py+IhhEBpa1swbr0FwkvaY7eioM/e6o9a0l7z2tqNfuF1n
d8DLQPnH8DOutauuSC5OdGKYefhG3HyxUGbuQQ4CsXYuGgQ5HdPr/2DuvJYjR9Is/SrzAmiDO+AQ
t6EVg0EGVfIGxlSAQ2v19PMhu22nqtdsxvZmbW5oWZmVSUYE4PjFOd8RTMQqF3WWaWAgZqgEFWE0
VHVVrl3PZKp0xMQbwHK+NWrA/ecB+WAYmnMdp5P6DggOLPLcsITKmSen9TRucgnRYDNbkjlk5IUo
ctsBYzMhXvO4pDoN7htMHyQ1XiseTcMhDWrO6lta8VPByrYbfMX1tDb9CtOF8ea7A0enpbdpHOdr
MvL0Ec4aqeuYfVsiJxkkJn16aA0rWodk661jM3qrKos7luipXWE51qobPAdTBH8jwqq+Iht3Ynhp
maDRgjLHp9jVL3OJA5z1yPzkiam9UtujWRolBvLgzGL3qmA5LpcBUeie8Tb5HE11FHDteKjNgqwt
300Q1AcniiD2WZm/1bn4HVqxcxlc/Mbkm9dkNY7g56f6eYaEsHaNhdLc+VHxAnuwe+li4pBYTiGA
RIZHzdS0JTlUZs/YO6zZD+ZhjHSeLGI+QoQx9pC9+ElQJKuhwc6BmrbInsgfa2nG8Wc6oAyOUcVO
FVbWsJra4v6X2uFfT+a/Pon/+aT9r1Lz/3oSe//GOIKagf/IciSLXKAiezd1oJb5A0GzzlyYHyTf
SAZqaImSrvE7BEtlS2eWa6ZHrjJPfmMhAVUZ97zsEb1oq9wzYYbjO6vso6zmYceQoQJXR4QsKfPE
BLODzq141XtqxqWTIZLyWE0+k6yTXLMmRRYti/gAbJNvajtGtR0Kq2JOl+LMEt0cb4KSyHZmoI3x
iCSDO6ft9CUk0mZJ59Ibv53F3W4zvW3a2DvHCIXXecdpFsWW/5OTEyuCqiaTBWJGtv00OXd31pq0
DKfaUwUxyaMmoNVsh/lUu6ziCJDyty52dGjEIaTwNs+dmHGj1YpV0dIw0A9PybBovu1tTtu+nwoY
c7xEu/zehK2+t7ozVn7Pke7XgbUtQlkxghy956oV6oO0Je1vsEqmxP2RRnFTYAPBxval+0Mbfe7i
YukDEwMK3WudjEhzKlJzysbvYfdyVd5bHykUTyNZfBmWMT1MdR18kkQGRX32ylvW1xZTbJS9m6Rq
Z3wKgEZHxzAfPGx8v2U4O7uyyHA3EclGEy9dc9PZqXEnptA8OWCin3qIW2SULXv7leF45SYe2JJf
CJ7vmnXhV/4vhwKo5f4tQVLpmo3wlLnVz9LN5nxtLDeXg5d/2toIvvCco4m0tyGk+S+AmwW4TOF/
tjiTTziO85TmRPTv8Qh5MYone9mp+SdaG9lvUMuRIjLVMGQAp1cHEPqFXDU+VDnyp6f7qMPxCKpD
3OZS1Qn6rOUsy5ZjLeN1EirA5xMvhx7IJec7zrLxo+E8AJ2kyE+oMbd/Fn/OTIQJcPlEmOnm6psJ
1OJgQOxLBInhfSNTNAGJOrVvEYOCgwRus09cUi3WCO78GzaP7G0RuOEjDwy735LWzbPDALRyYwSV
Qu20EqddJ1rqK6rWhdxUMxXulydY57ZkhKFats7sJRFhBWQ07kE2u4/FPAE4TFWrX0um6OEGliJx
bbPnpwECMJ7CtpTiw0RJe+wboqrV0DlnSkPsb1VZ9oT5VfrWL/HWicHqgWE/tQY2FsbNs6PJ0Voy
sdMlHjsb44Ggvsm5GLLoT9pyvH3yJ1EbYUf6aqhcQCjrRIFTKBcxKaP10HzEo2nuddCDoQlZBa7a
upxxgbF9sd1w2rlatNSqS9a3Zk57k0v+96QUgAavANVR+q67IfbBe1KFH6AG0d5ucgLOb9eobkah
60eQCd67VVnuux+SPM4eoX9xB46pcMklF0tCuSynnpcv1duyrlhWQGZyDTFXfKtyy/ptRQUnOcYR
wd0zZfd6JgkdcSmgAR6389Ejm/rQYXE+m03ERA0RKru3KuxXjVlVL4MxOmg3Wtx3WOr1s25Cgtjl
ksnuMQTcirieN0WVMB2tunRJzNHexU0Di90M2e6YCkdMfOS9iyX53cFkt5dOs7jmyIWfgFzuIN9l
n7LT/uesZP3oLUnycjSI+fwTLx/piJmaTKLoG2gmxWYs6Ouz/SeavgAP1y9x9b2flI/tgKVakrXK
ZS+dHWIrRWQSEBbfJlojaNA+kGTimxeWUt6947n0u2TA8dLWA/61dgDwucH55KOb5rm86rs8/Wni
D7wwlu/OdZwH35zAy7/paVTAf5HhlqEFbVGWC1gWbxuOkGvXRqT+1RpTzATXwcwTVAZzCKY2zqpD
2fvcmQTWc6JMAQwVDjEBy1tZ6SnmEbQiSfeldGcSQVEVil3ZGI5mlt6Nu2bwlltd5tDfulyDoi3y
rUAbfOy7wq3WlZM5IVUqSb41O1yYI0P56YkGc6JOtXy3dM+6xfOckDU4sX9p1jU33qzye9lZvD29
8T7gjnkZu4GqoKjMfUwZcusmM4R70zg7M+ohXAwdXQ82iHVLgOdllmVwZCwt9wyoqRzmBczikSCj
FstqqyLvjBbVxZaKytUQqn6A1mY+mrPO3+CNYf6tjXh8DEHNVmTUQE1eqci0N15mJWe0beXn2CfN
i5BF/aaosC5WVLcH6eCd8V1zJEQ76w+eLF0cqSVhHGnavYZ9Ftwjtmv2yibXmmkv1acnp3ZrN1V0
FeEYbyxufYq9OnwAvGrtUys3L43W2QebFmydET7hNeu+nl2sjJtDYUoctJNvRAzgfSsFsjXMkilt
kc13htNoo5OMpp0Bt/gZFhVbMqPJnXRvjm5W7voIO9AmDQ0OuoFoV0IOa7WOjmYjZm9jq2Esr/WM
vG7w6xQnnaV/ZZiL4W6PDUsQD9EwN0X1Eno49WJbLqRjz7krZyh2owo/kb6MS3Kqjc0/ca0DOTd6
ByZm6crseieHvtu7IrRPnTuUz7mXXTwUIHkJRWSsm6Oi1TsMo5XvcoA2FG/TPH4RGZBt8s6HwYVn
WN9CpedjN3fsBF2tKYAkuuEyHz/dBpo4V76zEpVZrUNPMapX0YucB7rIReVVGT5xPlneuyeZdSOA
IcKUyAcx7sjAMUor9OM2GsWHdMwRyyFZ5tIL/BV4IX/rkf/yTDxM8rKsNACfAZqyQh2e3QilQDP3
7W7MSGSfmKu8sjStL57RN9maoGvQM0jhAHhxwKzI40FKR+ye+CKP1NmqvvefINz5mzCyWLW6hMAU
TawwJIcwcMKo33b+RFTPPDMeGSIRriP8xor6WSC6M1pVkPU7uNsIp+mOCCFMNkZKvo2hzRR17GCc
XK/usTWPqIxHR9yDxT5RDVJd4pS9gZpsHCrTIN7amjUQfhquUjDJr3wrQkw7B4Ea5EVDfyjNNV8N
SfmMxLzd+Fk9XLH3c7O7s/0WZbb1A/V8caik18J39PJNrh25Be2VnIBgewc3aLstIZz5bw/LyIPT
qPQ1jhuSJ0E1bbFh2zvmCeUpLClZ0H2ZR1tgWp3ShMKJOvL70Hi/wAc6G62lf27M9kmZzS6wfXs7
+dID/WRAlK/zH0YA3aFq2RrMpFl41GTbAZ/oScUZj0yZFQ9uu+gzLJmf8LKMp1JFLenlS7zYaLNu
65qiXTsdnyhq2Q7AIuwKPv8EqgE3qrUBhkc1+t/3BWJJEflbWyAt12L+rZj6MY1eCCN/nUD7NaWN
Db5+z2Vynz+sj+rL+Kieh2vzhHcyRwFw/e+/o738i//1HYGaWRaaCd8l08N3LNNluP7X7zgEoU1Y
iA72CFiD72nRaLD0CSfXygRuSV6disMbeWECMb9tDL+Fmrno7CD5DRDOR9IS4a4RyPe9VWGSvLUB
jcobFxddF29yX1dvswqMdxoyRlnYzoC65QUiQL5ntpx+VnVn1wZQjFmjYHougkMpR/s5K9jopzZO
kh7ry9madfm7QNr0UgaGPio0/fcUYCtU7pgkDhrKaiq2Ycz1caz9KbvEo67f7NAykIyRvPv+P7xt
S3/2t7fNxolkC8dhnms7zr/nkzY+PtO+IpPKEGN1DlD2bqcqrU9oNeLXsifnAEFlD9280OFDL13x
rfGiKF/XhRv+BEmEgNsCtdwSxX02eDbePEbDH5Fd1PsUismOiR3ap3TawJAjiwr3tIBlYJRs5ZPY
YquWN6hYbFgHW8N0o1c8Qe4pduSUbrploGj5lMZrL5jzr3ru0oqr18GHMC8zSNZ3jCPjP6PJWdTs
oQNVIkUaqVef/rxP/99Izf8bA48c3Al/uVo2X+3Xf/z6s2i4fmWs0c5fdc7vJV9/W4T982/9awvm
/UMhvyK0iLtcun9ii/61JLD/YfqWg27EXb4IBcXnXygh4f3DJgvXNMEZsZjmb/2fNYEQrBYkObn8
ic0vHO//hSUk/r4lcG0CjtBtLQghdmoem7W/HwkcykbpslffqkYdJparDnc7xstdD+LHTRymEWzD
nbs1px+c1vX/cAiClP73Q4kbSkihoI07SvGi/u0YhNVmzSgYu21bFLvQ6niOV6PzENhYVpNIAAlq
PTLEku6TcWZ59FAV72v0k6jQK+4+Abolblh1xuorJiOD2BWZb4hNeRgjWz6UStprt0oyQKih2kct
VGOFXXmDtVjuXNf/VbhUQ1mZDrtKvjKN6r5hon+PSQV7Wn5BsN98MLX5PY5N9zFSdN4T6u+wTuUH
o+tItHe7HOpLmY0nd8mb06lYZ2rw9g1pNY7oPyZb2NciQye0+BVmC0RPQQ6HrWp11Kp6lnCbdhjJ
MVeF4YNjlevZygWW2D49//ki2pw2Z/APQSV+Ww17wkb+LNJDDVlgtL436UGntrdV0Rf8SdxBTuHA
UtY84br4uVOL4nKIdvUEgyePcxAOc0bIkHpzJGHuEhnwClABqMesBztAOGRdhldSPkMAIJBaRnPC
/kBZS0U9L7JLXONWsRuY+tLiMLCYjbTZiDk6iIaOVz0GgqH0wDZ/VSVdSAw6qunQ3JJ8pyLMgF4K
DcXGY7LKhkqsXN/ytzGpUaDY5MEMNh6RzRvbiO2Nc3Wo5dcqhcPT6cdlHG7GweUhyOLwWLi4l1lg
pSrtj/YobkzOVyAm30KvhIjhswkyJyLsSkiZ6ajOSE3IpkXqWNFsra3y02rDq+nUO+W3E9GjQXHA
oCAgdoL7INT1awBuoNE14kQWN1mALIBGhORJh8TP9EsWAHkSblW3OIStJ+yzwLKioUGRxaDBGniP
GUnuKK3IeGECtDJ7dYbIkp7qWnwxRGNUZ1Pm+tE0rtCLgnxy3kVSvUWdd2B5/FaSc5Q0/d5Fgbed
nb2XEJJj9N7vSAcX5E0VWtlAsRhLxNEFEgEfhtmXsMyrA0EDtzjXWmFT8cqvfkL765hfpbGuCkrt
UR6BqPAuGSFGkKzdCj0FPCR4s8PUeS9QfOD12oywg5GM6ltqAlYc64MS28FvYBa1CmgWYL4RWuiO
AE9rbWaPnsi+JlsSIDB1nxnGa9Ou440q+5QdmqCuQ3XdM4jOAh/LUOP+mPQCEp3iN3SVlMHx3mcS
CoxKbDqmBWjwvJ+hbewagQMknloiFRK45LGknYmn/Eihu6HOJ5MkstHoZpQ0ilRJSn4YX54bnjP9
LhDhXVDS+uhW0hnvO5jUlNQOy0vXWqLYkbwexjLweHEMYtmcqw5j8ECIa2//bAnqDDJZHgPfHBCb
Q0KqMtAFIc5KK8WnIhoPwCjsB4aZP0c9vMqISBGAFnrjEe4xE1oxZ2Lxeafjo7l8qVgZBm69y3hS
n2pfQLmvWFL5pC/2Kt/hYmSPkq0at0B9nLLZDMbm4L+jn17XGGFPnqkvZdE0TxLN6FOsmdLKrAZB
6pLtbnlFdejSmeGgqc8Wbc5zWT1YtfauqVb+jkZ14F3MEALTb+8sJxkJWIFKPWCto3f90WGYXtUi
d3cilZrJlIlL205rlIH9r8SlkvDjnOEs27M3M11JY5uEasJbIH6QYGxvVFcUF3OESWJK6xpo/wjg
7WEap+lW1+OvYQBekcc4ZdymUhvFf9m+FT84MY7oPgrerNwZXhyRE3lFz2tivTxllbo7ZVuflhw0
z26mh7G61nBjnqljyxLOUxCT+MFgLNlHEcamnNH4TmgJ+joUh1i383meMnuduES4IotLQVM8dk6X
7lzDDY+ZrcoNgR/b2m5JVS3c+tqWM/kdY8WHb3BAdXVyZhx1M4Ke7NLMeKr8ReU3+hWJANm9reX4
FJVfXVvhpu2r+iFOHX9blkb4gBavoWk3Tss4Yhdxq8GcIfrNy+MnJ6/TA5OE8tiF8d1vOvEwglZa
y9y9ksLsrBC359y2zPGhkOgdVKHy4lYAfNTyJebEz7COPUno+U2QXXuj02vLBLc6tqjOoum9IE/t
3RvBGgm3ewuTflgPpqxO2XPPn6yaVuhL7wbBq+RSWTUiAFJttHes+cazGuqTxypxXVRNs9NJZh+l
M7jrIPWjzazq4iQXALXO8eT2K7J0i29qHMiOTnyi/gzWYfTv9YvqvAYW0icy734rZxkeam/eGuo4
5EFynbKUJt7Ap5QIo8VLi/zNDC4GhXO/0k2hz3UOR9/11pNZ9j9ILzoZYf9cm5l494bq7pfygzXB
DEvQdZ/QPK7m0ZKPngs9d5wQWNaxvxlfpJ7YKigHR4Ie3QvLMKKLk/a8MP/PZtjAbJEuqoa6zZJt
qcr8XCTpazRk06p3bLXqGhutjySP7s+XIP02aS5fTzEFCDr8dQEWzlUyOu+hl9O0lGdRxPYr5414
iXzaI9J+G/+ba6fhXsUT3vUweZliplKx+y3qTf9bjVUEIT9ZC0KonaklkGHjl2Q/vK10cfVGlSPX
z49Gi28rdu3tmCvnEMf6KXTk0WN+Tt/NrhwWSo+uz0ZYBPjI9j6JqWCajz43sK07Zi19U85C5CFV
LhKpfnexVHlclXj9hueIxzGyrfncTeNzru34PGLIZYSJXVG5kBt6tsKriDN+mzlBB3dVrZlcdXsn
yqud2c7e1uoCHihxeilAwCY2q5S8ct5GH4WFNbXdzmnIig2rju2kVXwlfkf+ZNm9+PTnG1PECCr7
Sp3+fJksSd+k9Vl1Uf6Qix4HjDrAwm5ORIs9BaxfPsLlZqqy8Ew/9tNbbJt/vJvoIA4Wq4ljbpvV
QyJRtzTZV2SJaSs1Mfe6dPeJaNVj1XCcNyzCgVJIaN6TUz7MxfQjL4pgGblMW1yaelPg4uHlGO2G
/YW5dp2QOoDl9mMWfsd+hXyfNFl2pI9mgjswZzxsptnEcp0BFBws74jNbjo0vW1voxpXZ+917ipt
h/Tk84mtGNJ3ezBZRE7Lmm0MnqONAXZkMxgeJTGmUqabpfcInBflfl7+IpkpeZJcAlcyLpmpjlpg
JQGkbhrWeJQxQGJZFk+yF+05mGLrMMzT9zQ2/VPKc2dVG4OzKf3kVxd44CjMtzjpslfjoR4AwcTG
HK3hRibrzg84OpOJUCdX3ado7i+FPZfUrLkHA7hY9O9mfxij8grDUL10JhayigXNaz/2JKNS1cZD
AfOPYdSpSJJnmQHu7uikCVmHwZSOcAZQS11ML3pFttOeNSCVveXT8qZmYD2jVUetYvPinCAFMlBo
qv4GvYcygyOjyp+D+ppqgNTYj48iqi6Oa0egCXW1mTEOkUFes2dHkEKH3QO6wlJBmZp+wBOvj2gq
ui2avL7kwSmSRD0E+O5XDeEX2goVGaOehPDwERjzcAdCZ6z7InwkeQ2BhAXFkrk50IsaP0Ouhu+K
ixv7gJQguQSuYKf4JobhmId+f7HcCLn/RE/f469+bjSzeDcltIGTZgf5R2/dzurXfpnYG3I3SPGs
QHQi5aY48niPUATjHZnjmwFUkwq41+dc2i2BISRzlKh4UuMFPQVsDNNcMPxwhLqo1g/tAAgRyM+t
tGuMPRIhypiTJWbFV0vymOh6p3nuCoGXglW5WfSwkmFur5h1dayRM6JyrNl8PQyEVVGoKTcpzrm7
Bu9hnuz5F3InuFHFfCe38ZXcswDHqMInrHD2Oco3rnqGr2XPcX4eJJy5YSIpICm8reuz/rbtcWZK
aemNbZYd71iYPGB1PduFzVqrCrdZ2PJpc/VuM3BU6wjIzjkw3eocE3jP2plgykBkWCccrjMRLVb4
ZPjCXsBlFPtA4l3/HJUGdjRpBtc44xwJwBSmzGeOoCxxygw2XVseuevJKtAv9xMJH2P9JpLL7BTt
qa5Efxza6aFoWCoAABevs0erOGA4psRtq+do0jffkOcsdZOHvqAd6BcINphSMrwE1g27jtyzBbuN
/KzziD9ki2w7Zrj7I7Cd+h52Fm0g4Sqoi+JlXj8bwI16cZCDE22jRr2UdSRf28Y88bl0x6Dzf1gv
dTfw4xhcDlVoHwCrMj5Mp/RxlOeyepEAWre+WdYHf/YgsssgvGVuOGyhwlLQ9QMOVR0VzNjJJwkG
HvmhUvnG8yL9BM9jZ8v4y+kQYSEhEXuf3RrDLdt8ckvnFhWt9QjVKlkHEQV7FqIJaELP3GTKwzQd
G91jY1rRgb0WbNzKEmsrAxhAGTbcc2YmKz2PAztRmNd9gR6sh0E60UB0RRKw5dbugzXn83bMKgQ6
Sogrz2Ns6BjJXUTrJzy2OJeNqt5mqT0cXfcadGQLcvshCBhyQLMLdxHPTs+Y+pSX+iPTuCMrYmMy
1YVHM5krbNbS21QwgQ8MKE/V7BYXaPt0kKk57ya0Nu9FNx/r2YS0pMDFmHRsLJ1TKMBDVD+N+r10
PPuh4TIbw1a+DcCV/izhK+XerRDeG1HIDz1TdDgN6YdQ0jgaQ/WGA6g+NqFO1nXXeSfDS5o19fEj
/LmZ/bmDTyV0fhErKH8Z1cuEWziUhvsYcMndYVF+RpOfHGdff/uTiyKz9tMwvPQkcG8sHay3TdPE
OMrW/sVw4JNVEqV3DNpMhF58jdA/bsbBfeKHc4/AZqmchmd7GuSzSxfipvYzXSbKA5igc1+rvW16
8bN0jXA3K4x1WQYVsBfV0e7C4gSS6yGIKh8yifTORE2Eh1Jb7CEQ8EAZCKkm0izfy57eLbGRFxjS
PDOFZB3NwmKbwDhdZJnhclJ/sWrCsCMJT3LD9GwO5Mb2bfUryIv3vjLUU2fN6omtOpFJcJZJMRoO
quWsiTlIwBiVl9Jg6UOb+KDTSfKhcgLlYnx1CIIvbLfd967uGNw6wWYIOn3O+Gd22K5+5qLJb5PA
oFFbuAAhSu0rmTWv0H8hMBIXSYlH8lIi3kInTdZWYUALlv6wbaowY4uIVVUW5s0y6IM4mD3kCTQL
fR5iCu94yGSj+9J2UXIStQ23EXd8izSg6BL3jDz4xo7eOjnsygBFLkizyt2UaMt2aRLBbyk0o6ke
c84y4olNQ5xQmDeHsG9B6I+ihMY7b6woA68hyy+++yrurPBHE8WnuIrDKyoX7m4Ko30RUzZORORU
w6zYwciXORy7J5W7H9C1bAKMigVEjCRPI2ReMINQG5L8+0gxyrOp3/g4tXcsdaJbisBoY+MUJDDp
lMrhHLDNWbX+sKv93DqGcXSdWjKDzKGyES2gQUjz8T1pCp4dGJI37cT9TqLFJtHtz8YynZ2eNnbo
0dkafJCYQvaxE+5SjNMvPbvNjnBLzPPVJ9BC2JKhAD8oIJeLrr8pX1+Fs2z/dfWeuvyHCr9GQWhC
mqKFYakKAysNHsLtwEEaxig0y1WqsbL2bWadJzeVTNnmbicGhWa36l89w6ZcVexN8FG3w4rREGlB
UZhuqgZHeo0HNyqMR2E49iMPTF6FRa+MSkDjJ0u/OrPXl7qXJfD1AwP9fD/A29hZI+nB7WCrbcw/
va0N6p7SneJLFTV3J0rrIySH4JqSQGZlcp825R0pm/FQDsMPHYj0FcaCEwpzgwd9fET6fGSfXq+i
ell29yhK3DG82nb5lgcQQcVAq5SVwxXxWAj1N/7wgvIFm87VzoOfwxgAJwK0PfOG7lunibcN0nEo
LM5A+CaBKaZseDiyuzgY9fjDSIb8sWpvnLolT5Vj26QX5VYGdU4Pf2hO0p1loYXtk+nLC5wcB1n9
7IrqZ1vBghcdhBbf9a4RBJdLOIpf4TC221SgfEDrxeOQQrrkMeLPqbcbYcwAnarZREV+csuQqW6K
aXTXQyWbM46IdY+wAuZqzwavpxuOSi9YJpnxh+WEF6PyWUlxQe88zPwYnUb/wwgI4q3M2Dh5CtMj
4O/0lCKFXKsMzAP+WBRQxhhsbIh7a9eltM61Ye8Zj/As0xOG8sx+NDvyhqlFPQQ0brpzcIg8xG5H
z17EPyEcgSrpkpvD3fwdp/M6bP0LhgG5ahGuMkNJTlXQyZd+no4K6S/pMQojSTdtLZsVO5J3ZpJV
Q8dtg8tgwY4mfD4NtoMKJuER3pUvQ2cLvH5pzv8dP7ni1Tb7/N4HCVFm1OhVR5ECLEwd5LhHocNL
lw746Y4kpCVVq2dBt+XsZYB+1+5SVunw1LME3qnhd+OZFm5W/6dX6oNdUDH7U8zFq6udzKpfIa6q
y0LR8UyWhbqbN3b7x6VVoAqp/RMob2+VAJ58EuQ8r2Mt3V0D83AXeGhEEg/0aEvX+DDguY6ZrIZu
XN/cCHpvDmnHx5DPa+pafhLcu/aIR0CbfXhErRVuIBViZ4TADjG8vtWs51a+6uGiJWW2D3MWfaS7
4mecYNcF1dyxTjdOQnbjIZ8QpmfxfM+Eis68aeE+zeHEauVkSLH4EiOV4fqujq2oxVHip9/qPtlw
538O9WzdfJyUGCKNswY5TmbZGW9/d4qkT8MzFD3SHwSRM1TSLs/2At8fopnJgCzvfzg5Ew53Fu0l
oofesRokjtnwoms0lSjW3e497uoXINTPOs/mPUZWsrgXBIc7EjLfGPJKpSyvvu/qfR64w+rP77U1
uqDc6Hj0hZBjqsDcNt2cPpr19M5epDykVvNYhYb1PCjzqKqnenQsUmhYlSrT+dHyee9qu6+OrG9P
PhHWq1nK7Mqq1qRfhksyy+nolSI6Ve6Qnxu/Hg7os0LSCDpmtk4bXPEuu9uQU+Upr3J7g6QS26py
P6wpGh6LyapORZjfZdVzSgpsF04RDneG5NPWCR/sTsBW50HwWHZizRTRvA5R9+XP2BjayCUUwe53
lgBl7jtO+tikXb4hCTHdNnC7biGnllHn/jUM6py7pPyMgtpH1YbYqc7YoSZAJRGiZ0G9sVrQfvV8
iePMo7lD14MUn9MlNtCPeun8mCj2GyxChj3hcl1R/6hn+FVlGj6YeSPuTm4gyig8fSyTeSRmEWh4
3PXFjjlCd/Yxzm40j2AFV/AXPtgvgjaY+UJEJK0CrFZWOpTx1oC/yyEPUGcIOdmAZ7cxED/AYk03
2As1U9vkI0c9e+wF4fVJ5amnhLtWwkzYdBBgrCr5yiDmQN/YVyOJndagX83JpGUr6M+sJTCB/C5n
sfC2MwPbCVBQtEQZ8SHVou4J4gIdpeZqO+Ib2loBtu6hzRH+93jYbLlDCPGZQiPYObFVr5EooH6u
y3RrhCQkdezqhYXVpEeh4nn5Pgz9+xxMHYMmaAJJn3vnBpAG6eA+cKG6t18Sy/5Iq8gl2ofngSms
FzOFO5mCJ6jzzCawDd6E7kxNR4yADdiVQ8USjtcyqRS9ZlOdQC2S2s2J0mMrOqBFoZGa2RRlZgZg
MoJYWeV+fsv7tDw63fheeIo+xA/MnRnq9qUXjtohdjc2oWvdAnDKx2GQ7SmT3o9KttaZMeaqdvry
ZIVvIY6bG9nuNE7u2XZVg3kvH18mfUL45qHfRDNXmxVAz5Cs81pAe/PYNsV9HsPrzLiic+ZGSOPr
59RBcQK9+x2DQf6SoZi1AueQldBvkBlXO6MvmOEFHbimgD2ONaAPChfUu+mbwPIMEjJj5sUIt0xi
8VzARwOPNjYsxnFI4mJXOK1xJhKLBAQWFBI7yJtfIXLngryizfMvJRhTOzHnV62X/KNlE9pkHg2q
Pbx4ZGd20FNgIZX3WVjGGuIjdoMaNX/lzvvAqcDlEyRWGl33jET1oEVdP+JParadQrSapf5ubgBm
4oJ4mZJYn4HTH5Ih4aGTSnmhwiSbtflZjsKErHkrUYESgy0UutFhBO5BHmGM/XFdjxSkNV4IPO7l
LvfD8uZTxxAqONzgHL1Hsensmb8aFO2VRv5bsBBQCp0Co0oSvBA8RPaOqL/6TKiZPpuUcxw29SM6
WcBMcryOXOPWUMYccG2yWtS7j7PfXGPqgS3vJErLQj8kbeKf64DRuVjYNFGh6pMyq8+Qge6+CQaA
TBigR4u1TmkIIrLd4Qq//TmseuPDFVhWToTC0w1HTvuUIDVqEYoHhdee7ExAiIzya1UBkrBjclLh
lyniAQgtbCIU/B2KtV2sYhhJQwkRBHraqgLFf04Jzl5jmdgNRkHEZIAjwCXbnGnO8J/sncly3MqW
ZX8ocQ19Y1aWg+j7CFJsJE1gaig44HAAjh74+lrge1lZN60ss3JSo5qEiZQuL8mIAPzss/faD2Hz
8oJXtTe5SlwLyY5bquHk+AoHlVWVPxbYVg/vdqjVvEGlx15rGsMN5ZAcavcVM2nzwmm438WGx2Jb
/sxn5V5CtpxrKubNtcQkuyeRVGCbpDPEqt7m8dQHDjitcm5vi4SbyYJLoR2IQ9B38y4IAamjb+6q
OKC+cgLN6Tpkbiovqp+jrvmlyLSr2mmfHTLwq3iGO0uc5bURRXcrestlVW/v46azyZVUdCMICx+/
Mk2xt3X33SZZfubCy+kslLh2oVZNHs70IXElbWhFt4lTh+zROD6UU+q7gmEStKdOON2Z9Y51Gbu3
gWH4ysmc9S93G6ATmbHrdY9O0IjvJUrcLkY2Tzn/gOLC7RcwKFeZ38NEdGBB+86bY2anIS2bA8IW
LahThBpZe/5myrqUIE5kr10Y8Tu/gD0X1Oyy87LPTzPtsC6w8HMfqGOe+2vRAoxl1xBtzDbZB4b1
lIXJj2iyj7MktZKlamcX1oON5UvvMQc6Zc8EY/pP6ERIdjVz1HKmi+vqi8GVX03sWgar4qm7WPif
UN/DU26Ez6y7X1RmPprppJXFXiqpJgYK1n4smZic6xVncmqdwkyuXJChCgpd4CZkjurhD5rQAhur
h3WVwikJ2uSEyulumojqGegVX0XVz2czH2g2mNgrJDbCrgwFrgHF5Wpcv2BKxZwtE7x8KeFIaCaw
vUANh/IKvi87AbxN9XxqfQNsYpwnuI+4jyh2iCLLLnbZXPAdsvtkv6h7wlht/tsnqES1Z0SWMyaZ
PVsIzVX6veHJZ1ivcALk4NBs8T77PN+AHEXdD4dxpoWzTu+Vk/5qHOc+OuOCi8wcOCRInEXFwCS4
nMPtoMt4+KPAN6ycpl0hw3zYxhDBTSl+uuZA5TZapvZten/CZsdrCww+qP8UN0GVvkz9sHFGtG2H
Mrl9P4/f3ca72hL7aCFtohDBYYyxvmv8XavMm167pOXXS0jQhotP3mU4S3YZIfkjkQ+kcH0u3m58
zV26SqMFtzikjGdWpbnE5kdLE/6JZlAVaQhPVPaXwJNP5tAVe8FdSsbuOiSgsy/YZE2J/9CRd1Az
oKDKCTiK4ePlDXoqHBAQHjppbP42wZus5ejVK8yXe6vqv0pOFM2AjCMiqKeh717BtPwOzGJY4xos
Vz48NhE7zpUuyaqvOTAuMCWw7oj4KvB2U4sDziLo5dGm2WN6yFk/r70ejHpfxDu7yQyobJhsTUne
XrqaKkLOATSGAOhqTM7/K49GFIoT4nEf6ZKJWVIZIGhxZGdB2bFHK1Rj1R2HOw2p3BKb2J3yJ8L2
mrFgwBwcDXI3mKRlRdZdFVmadUmf4IYDitz1DOjnqvcrpqTO+qbmG1w6utF9GPruH0ZlumtTu7+B
WX/BAWJ9zRczQLbEeqOy2GUW/SG47XsUveKgyuHYqyK4U20OF8ykYQbX64Qs31IH+TOcpnJnTDQh
9bo5m7b7R1HN/W3uA45D9W3kCnqZQgOHvoVRuJFocg7hP0Tw7G7RgrTTjikvbUqijd5oY484e+e0
Ir8XFqphmkObGzv1FjTq0RIi6ancONZVWeyr2Io2Q1K6qzo2Yt5U6leuK++Ggn4IyobbFzXBcHxr
9jRR9EQooT45gtnSL2hAIsCS3cpAkPkLfXzzWBbZ/AVnvTyMGox3I45Gn+lTo3W3HeMA6MiU60vv
CgMUR8MrDFtGzUKUWlv7bEnLvQww2VeRidsAonx7zVvnRgNZtwfzp7cEIbNzOmmbPnReYuxV2o9E
XgD4Vr9dYfHWTbFhd0Ux7u0gdI5O3XDBx3+Dfead4L06m6Clz610mmMjnYeeouA8EKUlG13iyA6N
zW0ImuBAQVFwHXNasIuraGgGphaTXlE3uIpIz7tyaP7wsgfJaK/oWIfe6tflNVHOk+dCah3K6YMT
6DoGtL+J4cFuQ5QXSbBwwzVp+l65P2yz/TCKCTZPQONDJyb0ZdN6i7w8XI+NOZ8p0KmJHlbV02hX
4S6vOTDB3p13gNpSIvD2vrJJ8ynRPKdd/i0nLqVX3Nju+LzTL7EP6NEMP0bwP+8ZzVNYravvpQ2B
ZiZnDcWQYojZ6Bp4VYvdRGSvMAQzEKqKrq4qf8WX7pAby+IbfNN+XbGKpGmv8A/JlFGZREQH6rDp
7b00xOKecgA1nDVIjPKE+Q4De5ZyP86px8RKVe4BGH9wZLJ3Ma5zmkRmEKulTEFCV9H182Gq5+hq
OB7vQ011a1udCwODHEvXVWv87jOzeUba9r9UAfncgd5PtK6D0brms98+XE1pfWUGAO+iFwf8NUep
Ud0GPDus4juEB22cx6i6N6jDR8fuiDIaJtkUWmKg0PRXqkMmJj/25EWtwfy5bsCXEpz6lm395NY1
neDqnX1keUiSChBtjauv1tPDs3V4DGTwZiy9BV20yDGxvlEWvg3atrkTMH0LcXmRlvOoiwnMaNuT
0meD1wP5RPfp2KHnmWwwF4w/KzNZmDpGdU4qzdWnMPcYib1TNLZPVV3n3/PAW6tgSrY6GLlkVHK6
Fpn8PbbTUXna3VYlmHmzND1IqVDqYaRzN89xVMum6B7AtNaatNVGiwzM8ZSHNxtdsMPOc228cuMT
AmB9jIWSEjcX9QacFvGu8hhR2rAm84gpbSS44XeVcRgUrXeVkZyjooQ10FjgiCkd2nR+vQ6nCzOx
eNWZ/xtTDk3ao/uWlR4sUhlYS8V8/1RMw5M0sv5MMYd0BIDVqSuf+oG+J2gMM8vBrHyizGRCcm18
YJZHtqTtmwpn8bDaFjh4xtHODer96GY0nk31d3bvasdzRLXqJKttMav8Jgv1pRtj5HYy8UfTirA2
sA29zR7Z3Wr4mNJW/wzc7kx5pXt0+6GFilDdIraW3FBInFgumkRN10QwNVcCz9526kWIdkmbpYpm
Yo9I28fKBkoHduWcxCGAUNc6+KwXqP7hoZgxg7GG8feo7Gz1g2Kfsa3azKwCwDqMwWHyaQJqUsX5
A1HP8r8SfBe3LnQ+SihZ+z7K3/M46a9d7tJu3zl4vsxT02JiqwnTcSUAhMfSPKAFA2CBAoqwEX2K
3b4IvtnaJscKJWATVPgiTXd+8Rszpgmw/fBxt65UmaiDFc5A7DNZreqA559MOeJjOz98B/i/JHrJ
wAEng4riuXsL4zpeUWiA1ZGYFOAPzotD63+dJvOGYN1uJ6f5rsnYrv14ADWWRD/9sEBIGDL6ETHh
Dc9ZSh1mydthA+24W2PS3S0SUrSh1Qb4dlW90Ujg8U0aEEOpxMaBC+1N34rMzkiusuoeQu8nMAGx
UWX7FtvmwysKrO91tB5d/UYjxMMIw54lkwHJIrPOBTJPWutXMZmPqKaoKpg7frRF55/MeTtTfpFF
Mnv2cK+BqHgx0AVXwURJElGhESPARFJMS5qfCSbGU/2Gdc1ad2WEAbVG4BDyHqBE7oEJYKzceHYb
f0G4a+8gVU9zFf1ui+Qd/hTEhukwlu4PdIsvU827mLeogxc4N+njGO114fG7p4vg8fkNuhG/3DIM
olXlPjgJ/NRF+uYkycVuxlvcj5vEir71ggunNQAv1nn8rlwsBaxq2T+R3CC4jb9/flC3YYJ25ekM
iurk0tREYORRcdeYwoAbbVVRmcOAu6O2PLg21YyUSpfXznfoWww7+SXzeUWZ5IRHU0dPqHynOeh8
zGU1OtCs97DUuHdB9Np8PpElgfxVINOdQYnxFNU0Ii0+kwlAyN7ty/yGOrKBi+uhucaUYHl4xSMD
jxz0k1XTNVCGGwsN4HvtpsEBe9+G7BKJDt3/mig4SLR65S11KijKYSLk0AfL6uQ2Zblx6BZYxWpc
5itONoJfgFTRT1HhERXQUVYuO5lNVZNZcymtchWvOFa39TZiLsVRRZGAruVltPQXvtvh0M/ykI3R
/DROzs+YqpZjXZtHzKXVuTVjyIAiBw0dx+0NKdxjX0t4EqeyccEK7q6tlE1H0A2QVTqAto7bbcKi
fp9TzoQww+9ZNe3xJz0bGSepLp/mlYyDiXPGOF0JjYxbM4NNHqBQXuypUZeCW+5qTgM86JaXX6RL
xUGo+c3UGa+UavDxiMSlPiclFh04RDvuN/PG4CVDXS5NIS0eDSQXLgoBV17P6TnX+MHBcZVzUosN
L1WsTLhYFRqYfRbKjKdLopUo2a7TtnvyVRrtmxEgHBYrfWs56YCOyOBXYCMsSsTmPMEYrMs4u38+
jGEp7203fktVG29Mr//dVRVuZzCuuzJv9a1n4U8pkoNbRIeomCELJDo29qH1XFDLcylYLl78Hliu
7YXH0vL7U8MLMjezt7Jt8AZq38Chx+9gZK9YZH325Jq/hEn8u6rZCXY0HI1slkFQzG9QG7pr0lR7
iIPzXYl5xCy8M58EcdWNirpka86xd54VZIHEUsEm51RPopRmMBqddL1zPn2edItkYfMWVP1AgROj
bic02zcVwCByvD3fzczQZaXY173hjKkohZZNw6pHMv3KMQRLnFnXK0NZr20fJHf81w1mNkQmp4ge
YohJrVoCYrPmKqMKtQmctjnHgeatkOibE881TeXIKGHoQNiF3XcWudEeHKpU2Ww/wj45tNBlf9sD
Y1fYUhhPlYmxmwsL/EPo/yli3MFZoF87pvXLXPvpltrk7IwDa96xaCLL1xvVkQUaTqaWX560CjgP
ISBsI5gXodKwj9xNTj6a5FqKdmd7BnNFED1xzZ3O6QwHqjfUdMi4zVltv8KXIm556XJPTULQ/7Xc
kyTtdxglW+xsc01BaFFhVUnoqQ3mp1iGzlNCkvs8tBJS1FibW2NMokOEiWs9N2N+86L52LJDXzuZ
bA0K5HR34Y14cXuHcq85q48VxbE0ZSA8hH5KDw4++j0KerPLBJZ8i7KFbZmqko5MqNKcX0kJ1hAP
egsK9Zhg9rESTgLcHsfdiJBNnyF0XYo7dvAxxwNiLiaNKruPwoMUpLGZFDauNhzX6XMcQmZfjPK2
MFr4hVgh9PLw+aewCaNjRRAcbzb2Z6Y7HgqgNnheMa2qD2ZnjSsGLn4XmPWNjSHJFtcEJ6T0Kkx9
IE2sok4OdQR8jwfYRP5pHDiUVJP0NwW56UvbmW8S/8IqsxQ1gnoCXm2wgLWkCnGZvRFa1Bsp6S7M
O7CiLkDPLYslTG1J5jyAKT5NwEovRE3aTTx6P8sg/gV+qd2VWdWjm00bcyzxhqBAr/ywbY95NP3o
mCdq5ctLbmRq3bZFsxNmMGyUsn4Ocvo+kgG4htgsCWaT2HezewQOYQXvPtmKQTTXzKEblTvRoUy1
ZJFOj1EVg4sK3Tm9zo/BU+6LlWHkH9Oi2o6D+chkxLkoJXYUhTxpQbJuZX8NAf1sO0LmB2CuESOJ
bs+QYb7y1u8Jzpzb5aFsHOP0+SEpkyvnnOTk9Utjg8ZrLoGzo2HAjWwWZ2DYZpSvhn1gn/7fBuGA
vv0qq6lOoSr96/6jXKJmzf/4WzzuX//+YfOPj0HDLQm1v32w/UyrPXUf9fT80VCN8W9QueVf/t/+
5T8zb/8VOtInevufpuU+6h/5f4jKff4n/4zKBX8RVWQuZkHEq9Fbvtj/ispx3YMm6WOYclzwx/8e
lbP/CszQCsBMOiGwO4+Y7T+JeuFftstVPyJzFtATTz7/vxeVswjk/S0ICsjS9yzPhFzp+tCc/kN+
NuoyypEkNDAnbpeuJ3Fx3pUzxFcF/ngdW6RgUw0qsoTNB6yCqUFa7D3gz6pt377Mgnd/Kl6IgwOd
To1mE47EiuuWwbEuSF/Hi7ZD8Wt20L7zjksROwNg4zBdascaZZ0c8EGO0ClUF5cj+zzSWUVZkW02
Z2NAmUTQTiQbA3ME92cEobc3JraXk2qfoLO4d1SwbYgBLnL1vM2gYTdhwh3QW1j4VKSGids/2gpT
IfERHXDloCgPC8ZsnCtoz1w6gfTzNlu7w9WfU/dQzy0tt6FOX/1wi/mle5mS6dcoAvPu7IxA3rtg
bt5r4ArrxongdHNl08KTL1nFPCLS/DLrAS6bpCOC7saYsbCdGe2iZzbd3g4vmbuvoP+uI1WJ58Zw
8n2R6Ce0Jpu9zUxHWCurp9mp38qxZMs+j4xnvXH43G+X0POAkZUbKcb8EUGHIfdDDUuPMYoFwlAc
eqvC84DssCIzSDUzS4iTTSTs06druOZpnN7BuNfvoi4evolMPlTYqcpSkzBi+Ng1Xs2lNNG4tMN4
Z0gkVx263c1hXQJEyxu3ASbdoRLyGwLhLk9y+4zALXZ9hHcpKjOH6xxo9bAUX5VNCKPvR+fW57bz
2mHqisiofR0nryY4hrYxW/Q2m82ID5ZVRkSfkqaZr5xtFxB0tyi9Nm6CEdNOZBfrKTXOniXicx+P
64jO6HPmUiBR0TlvEua+WYLXmR3VPoY+iMd5F76ZWBfu7KLca5iYEuGtvyozK7ZukLOp9yGbAaD6
FoViH0tPPSdO/Go0Ytyh91IA4m7lszsOxTcxA0XG/2GBpKJVqDKcVTglJH+84OrV2j+0Zv5lLBZa
PctBVBR3InqVHksayPddR5y6ED9pJIrXeUGAIxmlcZqwNncAr/6RDXC88Bpmc32gqGjGtutOyM28
NQyK5GaDn1A2MOyvbNfGl74fmufGNjChNHSF2o6zZr+3pbMieXd7lhFT1Wzx19akuzwqxvNS3gyd
f/OSjqjMyLsidqZHmeEJkymTf6N59ml072GbUAel5/CCU224FS4uH1HFX8Iq1nczAOXalgJHpIx+
N45dfp9IMHj5mDsrD1bmjpbxdAvdhZxGbn8EFmQ0wCEkWEzjRHQeV0eR+7sWvha5II7usec/UqaU
m4PJlkr5BprERKpJ44jzx+BM/gdnY8hgDRQIFDz28mNEBOUMkb1g99qWW6uwca7UsjjBcMRGk/L1
SbgcydE4F1sVoJmb7yHQxPtYcq4gCYGnAWBUtAoCE1EIcWkAlIg4+aLDDFQ5Edtz31LQVvfFuBYW
QDokIHZLPkeZ0sfSzUByDayWaxBvwhXFHWhHY/RazH2zyxGspnnon0KSxSulObMIzIZNkKCIcPrd
g86edm42PePcXA/AkSgWwi7oQB9d9VE6nlopu2NSiifTT6h0lRhA7OAax+Gdppb22ADs6gFJ3gwO
x3fpZj/cbKRageJlyN0F8+zEW6qyfUWp1Sy3NN4ygBMh2eQ27ViORSNZU/fXFIPTQcbNT06g0aZH
1V3NXmGca0tjkAoyYn9p/2WgmUJWLr5Kj+SXqdp7G6eHJsdJKe1g2nme5zx1xrJeK2wYpBHYrzyp
9mE+fMGDNrIRH7lZtPT8ityz1nSolU/xYszN5UXgFWW2Xa7tCbeUKSsAqRljtcgoRDpKN7yjqyUY
DkfQe0GhzkqAisSrtuIUhx9d5eWutbphK73sa1F2L5xCSSIJOJ8RNtSmCNyXWLKusjMxrac4nii0
sLcXMoXGtRX9b6sb50dTy+cwRXdiYbGr+ti+GKyxxwLGu0vGCQbq8hVo7NnzL02U12yEZDfBJkLm
3uNTk+tEDl/9qnS+ecN0iTOiUJbsrEuVz+06L0X10jaokVR4QmpPl5Ceb6LtlHJJeRZYHXCaSrs9
6irewTClqKXwj6bTx/c4Ves5MPPXNOJm9KenQBzeCPfkKBrlXUmfWZvA7aRozsCii4EAc8bJCiPG
1mwJ9CX9Oca6GmSU/XpNdeDwbeCohoG6tkwfC9nQ2y8ltTNeG2Oy18bMXhKnYJtiC2aSsVcz6Ln9
mDb1lkVQkhBxM2LKGc3BvcbhdLAWiZZ10YSRFZ+pNSlvkxPnJZXQHfrOqa6BIFIcWaydrYPB/ehS
4Qdm5WtzsxL8IgbtsP1nJ01f1DpLcuu39VWDyliHZtJ+SbLqyeWnPTIm+6sa/e9OJwvlrs2Vwg7z
OnJeLzi3p8sBvluO8mo51DfL8b7nnK847wfLwT9eRgBrGQYmpgJKWGmaXQaFionBYHIQywgxL8OE
zVTRLuNFuAwa3jJyqGX4oOTD4PTJQOIGb9zZwou5jCoZzVZbAwDMlgmTsLWcCNKEZHIzDfzRaYLt
tAw+uOjcZRAytapwylCrVWZMTxPzUrYMTv0yQk05NuQx5/NZlX0wgienbBm5smX4cj7nMG7MTTxH
RybP4pQuD59/6kywcBmTnLGMdHoZ7qgYJYG9DHzTMvq1yxAYMA2yqsVTuAyIDZPitIyM9jI82ssY
ibThw6cMmlO3zJdTK6gTV1h8Kb4qWEZDlunHmeKRZUClWKzeR8vQqpbxVS+DLOb5+ugtw63BlCuX
cdf9nHy7ZQgm2QKsibEYeTJfJxOjsliG5nEZn8UySBvLSD0wW8tlyB6WcbtfBm9nGcHHZRgPmMrt
ZTxXy6DeLSM78/lKMsPTHTEdUo+ygjmt5nMRGU8st7xjg3dJ11mzJnh2SgZkARjQCASLVJAvosGw
yAdsM0iTw1g76rFvUUCRGfQiOJiL9NAvIoQxla8zboqTL9w/xsQOkHhtvIs+xYtFxugWQSNC2chQ
ODKj/B4FqjtMzeSco0UGIaxDpcsijdC5yxYGtSRcZJMC/UQtQoq5SCqWLM3LXBggGJFb5CK8dIsE
kxTWa7GIMv0iz/iLUDMvkg2oaACZi4zDESVd1Yu0AyuK1EMePWLHzl9Nj/hH+CkFoQnZAam02cnP
lp1xWF6EI/WpIYlFTjIXYclaJKZiEZtCelnXIAzGNWjm8mUOpv4SNf4fQ1uET8SkzkXpe19mkp38
QteaC8GtmcvuFo/qYZqeJJEek5Ms7ejJ6VmesAN0zvkTIp390gwqeinpYJN2kd8wma+nxkY3benT
NJ6jsvklRNXdhUnLUgURwMucfdz65VlFeOoFt6uVTJr2TNBPvWB4TIkp6XEbtUF7sEj6cW22zbtR
1LvE1V7BAtCpKFvOgwV3ET/PTlU/QXGiQW6Mnz8/lS94Yl6Y/vbzw4RXKnr04O8syoqAA9Nn7Nns
7Zw5CXHrmkcR1QSK8HcTAYlqMITeGiJ5/rNo5WMJN298UCrHasbR0YWFcUqaYXwkrsMVgMrjV8P7
JLYh7tuyp6kEv0s2G1tBnOZo9SD5LB3yHdiCjlZlr7k3c9oaM0gitRdioeis14DGWPj+yP/sASkS
dv1vZPG/OLn9rVExwN3lf8FEcsH6ozaGMZ7TIbRpKAz4tDBZubvDpWrGejuoaltrOq9K70ClMXa/
9zZ3ftVugjOsM991VOwS1J20fCvxRInk5AzfLFN/kRWCnoN7JBRfelFvKhefFB51YSXWKiqaUz7z
5UufW2tWO7+MGrUMmJpVtvuaIloRUxo6imPmaY4EcBXWGsF8AGvbj43gtQN8EDW+fubYoZ91U0B9
o95k/++fMxhIG2PuWGak9P/V4k9i6w8Wb++RMo8sWgn0TYjgS8yrFfLFm7gKZC0RmMQJX5IgJekv
xK3vaJfOc3XiDqFfqUuOn02t+a1b+jUt+d/iI+ByT+CKq/mGtQr7AgHfZPyYuoSjgMXtWIx6ujtR
qp5zoqPkydQrxTX8Zcjy0Uuls3JT3GmWsKe1a+KjbIeuf4OnYYcgx9ndXbOa9/4clhSShNrZseqX
pEUqtL3lWG7RhM7a3T7nU5s/EOBTClSMZDFI5g/TwMgwf+67dWbftGK/2lACsVdtZ93YZli30TL0
Ab2XssEub9b8xKzhmgwHFLo2d2HizHj3jsIdgE+1jvXSLTTCtKrE6fPDQZFbMlIv57rH3zKi18cw
Aej6+SGSXnbzG/0GMi7+MtE0Hdb23bXS76PiPZrXVDSGsCEmDmHwnOovnw9VyDNR9+Zw+vyQ65+i
azqZVtZkkbxg1bXvqKZ4+EHJXax6jscke1iIqyeZ9q8prPiHMaJB1K3VbH1f0bwaA9aPzZ9FaFUE
7udviR0/IbwPpxiZ7k5ta3pn+DnXYhQbAPWaDJ04GSrzr9zkv3pt5h5oIXizcHbuvNY6UTW8ZRyP
1laQhRt2zd2KrajzGKZ+G767JbHEmkUacT735C6H9gkdFOxwQOyo4R9nDNk7zdXqGhIbOKOecuzv
/cs/HnAirEg7eFsc//oSCas4FAP5GM3zN6AX7Nzl8+SU20Me+reQsej6+SDEvNY0BV7YcEUnbWNm
NZLZXI2d/j7L2T1ODnwuB9WD63UGzZpKS22iObZm4V36lDIVR2Qvnw86wnNkUkKHjTvbYyioXwyY
x8jGFpvi5cOUHNaumgl4UtwFEdkbAC5EKW3rGuCwXpzTrUd0Uwrn7ivbefl8oMW0p5rMg0N3qojZ
vNC0qpa1lr/2TJbhdAm1e9QIjAZ9Mt8hFscnXMn30RsI54X9e8TP9DwW4gq/cFwng5OgMpAAbGS7
tQPWyGpwGOypIPamW9Im8TZRTwXGlbPoreBhEfXAhV3MP0fc+IpU9JvdIcQEy0SWcLW1oqn9ki/h
l9DL/V9jyquP7ravHvEz2M00OqR5fkFVkleDJqoNg2mBMGTvu9i59uY4fvRex0YGYdhoooRX19xy
AOqKm2RFeSJ72O3oow1eGAKoEevi9MOGW5t77kwLHU2V3kz0JW8sJCG2yftIcRIM/NoFjMT1fvb1
HS7KLfIgtCCk5Ze28ED2w5LtcX7UNt2m47RMohXbRSWsH4MBuHKGi+OM4r0tDYdLhzedLW7ztxzD
8qavhmTvjDrcU0vLfYx5Arppt448IdcGBes3QwzR5l9YTAdSmg3Ge22h37jJrySbD0YCNb5qRLf6
F68CsN5Vnd5i3PglouCSazCrHqwiPIotXHbdA5RYYDSt8+3/69Kf6vZ/oUtzmXZMdOXIdnz+gMLz
nzLdLj9+U/7yvwPd/o9f4J8dMOZfeDh8B0WXdfLfNGv7L89hLvTDyOUP9r9L1k7wlwnv0Q3CMPw3
nfufkrVj/8V3F7oW4RSOnJ4b/Lcka364v0nWxsKIc10b1uPfuW4ucg9CdSsO2HbVruO7p6e8yJ27
VzQ4azXzZ7Gam2p4BEYRAlOX1h3n+HRqvTn9VUWi37E9mVqwHVXEZr1AwVuZlmoutBWr31WmIto3
3bFALB57vSFS43yYMgreVZU1T4HE0bkOiOGYK4fpPaUKN0kMBFs05n1Wt1hHLBAaBLNqDtAlZcMe
FaO255wauDK7Mc7rw1zn3e/AHyIMCaqlzE4O5sfE4HPQTt67Nzp3i2YjJgesYjpnLfkbKgHWBWHb
aCfGSi6k1qLx110FLuvEnch/DoqIEwrMOXkcKYg4zPmI5YXIJYSDvKRFmEJKaxrXcQbtISoGkDte
In/X2cylPBLwLzaOW4PAV9xmxDqSbcClNiWRwWG7/5V5xniKMkUtIaWmr1XSuWsdpvYXRZ8mScxa
s00tkgcgaxKiuAbXzRDgOs4rOjEoYtj6LHujQ4Bw8mcqPRhfIqbc1EL1xsJaqw73dSd+mWQskj1m
hdze5bbfdytFtfe5ghb0p2D62GbkiDdeKV2CPYOimS00DP3Llo35ldg+d5dyUEsRbR7Nb8rNkteq
tvhXlJTIJ3789Kkeev2N66Jlr1NCIUcYlKBmM7IGOG6ot2qYi4/cAcnSgQUyX8OOI/Uq8vUkt+hG
7dcpFv5zZg16X6ku34RmTz5n1uN5hLjzyEWYYjLycGlthGMZbzR5t5esEJzI25p4hI8cuVWDx1Ay
NSY2GsgxSM8sA7/BnECwYuaH24TRbG11TvyeqHh88Xr8HTBF2thiRW6EeMe78FpWNXC9QPeIK14h
YQGRXou8mw+sn7un1vG6RU8bMY1ARlmlfkMubpgXuLHC7+5uOTcblNe6c/Dh1iMFHrFgiFj3KvOq
va9tgH8Gpm0MrF5dfZ8LXZ4JaTQHnBWI8fYwMnc1to1h0B9yNRzYy1Rwv5woJjdmJq4PiqPju224
lFBNA4EH5Aq/T2rtI0c1GMCc+E+akRs+QR0kecZN8DajqOFlypzEv+qa2W9dddw5DxWBuldKQ7BQ
UqGYLUHS7iOnf3YEj5X27xRpoJ5a+dj15G+TYjgIFefGAUxgcrOMtJTbvusiSnhjwhRZOY4/IuJz
X6gc9o49tmsSuimH7mKOLrMUWBdtU29Yc8Uk3yqseomkq300RbCnRocR3QnwSwBg34Q14YZiSf9n
vfsrNTlzKP0QI80c+JT8bRmN5S0N9XSFEskkPUw/+GHwy0/Uov02Yuuz1ps8dpXS0qiHBR3C6qYo
+J5yK384hQ2LwSYyydDcX0unF9+TwG73pfK+Dd1AZLuGgV+rAW42wNY1zqh8BcYL92rTaTRsHEwq
DeqVhTEMP4ccd7nhnirD4LLpElGXAuei9sj3ulZ5RyJaeoGGb9KpgbqJyt2VaUUAx4YXYlfuGfTq
FY7wIRSyJKqBN49mYwBN3ig/aKlUFyHrvVjeo0HD/nBgZF53pDgj0tSrIRybi5IAoJ3aUBs5+w/H
yRY3YXu302Y+04oL76LwCJ+EkL4ITrFsbyzJDsj2kYVb+DPK1+O+Eg3+9NqjiYUT4nl0YmtTz5Zz
LG3lktSYWAomyvvTNfNrzYi/kcN46Rv3jjTKnOee5qW/yyfLiJXqMaTdxSnILxX9x5jRAtnS49FN
LPWn8CmYgjPQfgIedvW1jsRvKo9vPlVJCOuC8IF1YEA9/U/mzmNHcmZNsq8ymHWzQS0WvQmtM1KL
DZGlSKemO/XTz/HqC/S9GPSiN4PZJLL+v0RmBsOFfWbHhjh9GSKD1cEFXpR9gHbZxR55GApJEdBE
9GGn9nUIq3YLTOahC6dHC0BWPTcHjd1gjteM4iBtZ0vyIdqowoz2FQaCzITh0LK4hgQP+uCpbaMP
ZCYssPFXTnwp5e3IDEe+ce++utG0xfqr3+7wu07BSD8MUd8qxxEsNtJ6iv23hhhlP4V7oRNQ9L3R
uuz/svKrIDfnecQwm747KX6w1K9sKjBvXgC7SI2IawNiI0/J2asXJN6KZGWaH/Ca4RtPo6/t4kZH
vnMy5ZAGDOIxJYNZJL+0OWd+/piqWzlj+UpgGNnrftwXSfuQR+FHm7MKu/WXHeuewZZ6HDk16okt
+rGW1ZMc2wNySonnldRlOYIaKgJ5rtseWk6annuLm0RMHTdngf5PmaG9wzyaPIzI9LQ1UkxrtHu6
eu0UbzANU2igbIx+w/dXLsOy78tg4Lxd64pfvZsDz6c33iqQ0iTx1G40Nk5Ld0jlIZqPjAC2GOxQ
zpmhXUU0Fz/91ATSRb8KpmICGnFLVMNzETXisUg2wk/qY2Aav1h3hgNo2gniJbRIXr0fFX2vNDQQ
POCwjJA1Ns2HysjsrXqXvAigKNV/2505Xxm9GNc+SJNrpLw8xQ9qZV8Kg+APPExUloZjsOcqhnqs
4klPtdr3IbIhUxpOPDBO6quPuk6DbeA0lKyORf+M261CM+yG5eTgh09hrFnJ2bcGRQepG2ZfmXBN
+ukjqWvnuuK9QnBhrrFkfAOhN8tdTlUF4C9bkbIXWPZKSBpQPrGBIQAdAiWnci3TnAhs7rc/+6b1
klXAuOYjQzWrjo5pSV9vGQvAPKZRdAWlWP0RSYbxN3Cs+kfhOf5L5/awm3rOfuiXg1TvVu02H147
jtGKkt78Fx0eJQbLLJBPbZG6ciXH2fhYogTNcdLbmUX076gyUGxPi+104jElRg9/rJkad01PjDkC
+iY5Tl1OXT8lVhrOr1lpzvTOmrNyHpq2kVcKur1Pp8gKl3Bcjt0GItA1rXP1OaVJ+gfOSnMN46h+
gvOZQ7JGRk1si2WcLr1wn7UxhNYi4SGLZwujQFIF8Akqs8fTkEVBDwPLlmpN/qiFtBbAi0XzB5ky
RYLASdM6tO/wdcmV2zWWAM/bN3sBfG/HJZV/k9nemw3K6GA2TooIaOTHqgv834ybwj8AOyxIUguQ
0Cx0GKhFNbJJZ2bja4mwl6xrgvREP23w/LIfvHHfAze++Ilp4+vDpBFuVDVx1okbr2YSN4XYnc2S
RPnSdQ720TExHx3l2+9hNsYcJVDvUTvwQtxFlxVfiLKu2gyut+wbvwWo14a8OaqlN/9EeYgmL3Js
Vs1oHSF6pYe2SuN93vfz19yk3lOUSIqyeZb8o0OY+EMkQ0b0u0rmhybxlyOlkN6ip4j5nYmtx7Ci
owetNqonRwiJk1tkLP3M/kEGO4N4moMRVpRrxMZva0pqFLjQMkiRTaFFeSMD7QepMyqdOzSfSAAt
BAwm11c4Re65T3vMyG4xVA+VUPajmi2AVLadDM++NyfPblmET2M4I6Y2vsWLagl1h1A6HYwiRGs1
UiBCyYLnZjNzhDvXsLgezcoUewTA5UIfUvphdTyFMIfs/gsAm8OVpU8vJF/8n5bo4OlN+IN+D3mW
0ducR4+wRNRPQDLN3e+YBhgWs/x1vkjF/pJb+8mah2vie+I5qulbm+1FvlIOE3yVi5PN67ov4Aq5
gneNN5bJbxhI6UMZGwAUeiqY1mVhhYwYx5pnsKP1vQOL/zm4MwvJ0IbPhusMJnPmOPksm9nlDdsQ
w6bYzfgyylYMq9ro61sTZf4+DZvgQXktrQaUF22K0AMpLIBX3IJEzT+QsQFJh55TkgtZPOKLgwy7
l2geEZszxal6Q1dFaK/4Oc+POHzCXTB749vi+v4uaKvyGxdWxDFnKiYAcMv45jlV8BTLrpJsKo5G
dtkjCdNEM8BFLB+FdHwieMrmeE6GBpiHXU80AjY9oLkT8dq+3vcdRMbjMEcJwCgjnKjrnuPgJSda
/gyuKOpowak44TBuweYYBBzA0mGQxDaiuHsWScDSVrsTg8UBG2m6JsGwOOvebkHfxvMoP8dOwBPu
hgjfj+nG00n4tlNvvM5Pj8qqIs3REt03Js/J5mqB2xgPSQtWJuxdrD9eQ+NLyOrkumn7NFqR+0Xv
0/hkO0LxNHnphdly7a4FIwRUYE9VFP95I+WFoHVphew4/T2XeW8n316DD2xjYbBy7yGJo3g3Dh4C
aGEjKOUUOIVIc/RUbQgFd8OV4xrnpGwWlAqOwwLisFJq2S/RiCCe5qH4M9Jm727mBJIe/hf7h2Qq
/HvgjzFYk5qxKt0CBFlO70G9LrKs2QojLa7d0KQX1UXzq9H60qNhiGFJBdpG4WRX5tWpw4Kz6mTZ
Ww75dg9iWsXfEfezJ7My6nTLJQOqieQ2VGynxueYp4hZb2lPHWioW/iGVsvAEBWZgcIw+lajZNdm
Zv3tRG1j37MBEGZup+Rbi7JZO0BGewpe6pFtrJFxylWO40tctum9m4J8W3GMiTezz4CAlK7LP12o
2SMumOA6v7TLome5wuXLIJDVvOmondzKsJ1uNV1CTzkjXlA9wqIS0i4IgAMuGR8YpBaUmUOG+Z5J
2xNY6uNTlMtoV1RU4XHuoTSqgKyZrrkWuW8D8Ue02LhM78qLXWMTG2UwXS3oVi+DMdCI56WOW1GS
ZFHZ10E0PdU8eT/nIuo7dnsreWIXhBricFI9Z9zQtpbbhb/cZWwZcqt+PbWy/kY77C9mzpCVK5gz
v1eZU+ySqkPudmzzo6H/ducJjyZVS1dtztiH8AFToXaNBpxRWcApdALM+eTT0HGO62S+SsdmWItp
QexpdiPBBHCTjDAGcjbOLDgz8Oy3iQoZPXOT3JuC/023ttpOKid3UUbx9xRm1L+nhXB3UW+Or4mq
g8dksdS0yqCBn4vCDYg5T/F9Zj7/KYJ+ucdWVxKkI7KzVmEo70ge4dH3Gwo3Z9vBI6dsMuqB8PZ1
btrvrVxYvRO/mdSqLXvOua0BSGkQBq/dqBNs1hDOuzDvl63HW/2AERI7QATp4ZpbqLAsrgj7S1Id
2G1wX/CQboqZuck6oYXgKMYle/e7vP9NXSZJyqz27zQzuc9sR85uMbz5pVYeNx6/JjyVEOt/aY2G
mDIron3Ejw1Zm2MBrVpWFn4wuKKvKkoEb/kebR5mmVneKnZTrNipfx+4TMlVG4azWDm+mV890qvc
JFLnJuxF0x+qLHsAQsqq55mlzjj3wRH01Kw2cZ91MAGr5C3FOPoQQVf56Ztzd+96Yf1pVap2MqKL
bxUMc6UPPxjLjNG13kmfGRgLTJPojNe4/dEtA7l2kqB59PwMXzb0xg0U9ZhUozHhtQitjbO4y9kw
AdHGAucLp5fau4ZlNN2wcQ3OikElb8iqsiOAG13xHNNP/tKlPYn/uW9sBeOLsS2gT0I1jj1d69qw
yBkWI2huXsEc4pI7ZPfatf8EgUS6D9SSEDrx2uVAjU3wlveuJAyZh9VTMbnjm8/22FHB1wa45q3K
+yKxMa//bYHNlXi2XVCOtaSbAVNptMl7nVejR5R7r6jUayuBZULfWAJ7/f9WA/8XF/b/H7ZrB2Mz
4vJ/32f+8l2K4n/dvn/1/yxq/+OP/ZeM7Wnl2WYqosvJ6SX/h/Xa/3fbMoGWIZ2HXvQv1mvn393I
pKWEdiCi0WDU/sl6bQa8iCBu3CDwnMj8n1mv/2/jNSI7NTs2bWu4r23dYvLz+0lUifqP/239m2wd
yrMmX24F4Jh6DG7kgA9O0N5zZrCuZ2xdOz5ZZXcjTnxuUsNbxYjctMm9ggHYFc50xli2/6ef4f0/
+3/+udeVZpJ/FdcDNzTNAJStzY8LgZ+fwb9+WZNhcS8I4CYpG3ARkG6KLegO4AAODz/k9Mso81HV
1mPrZzDlcE7MIUJT6gPNAAYSr0KwfK2Xhasm7OpjDC5useZ7mxTV3o1q7Y/qT+6clcew/GVlpn02
3C64KPAWK+4RxbES1d2mPGOHhoDRNf7EyMO/5IVM1kaDFIdj6zbQ+oeDjrixBJFiFXf7MDsKqaIr
FEvMbAMSK1n7MlfxLQLHNFmOz/s8qvB8WV9tu0QHtxghjJcGJUabiVPAsVt8fsbFKK6q6j5l4HCj
xgdET8D8ZDYCiVUfnEpsoPsZTs9LZdBy4Qo1cEGALRCh1z8FgF7pqTAeIoU2j0MxZWLGErzOTWBL
XUp+eqAptvAtlHePe35JOZJb9t1tiHAn5vItN8FCcUwNXlS0EGlDrj8j+7JUUU/N8HNe06Y8AMWX
dwqd6VD1umWH5uov5mkE6hgmx9FJjWNQncLa/Grm6Oyx5e4SYWuxjF7Jjk0ZI5q6RDHY2VROp6zf
MpuIVtloVAcV2G8DfQt4ODu1Gd0Xjucc8bEtzilaQYt/JIa24+ISsEVgbFvrm8i8tbdCeSoAAmTO
+AO5KCAXlH+ZNo3jTVddDf+3JcqIqbz7FfsRhzKDOYdKw/jk5yB2frnKpjcw/DHZCnhm30Xrru/B
J4+4+nqvX9f4ywj5gmmBWwk5I79baBG7gu3N84PpQq3CUmcJ3DXCRNFDK6jvlXRf0mBF7H9qEmiq
bgtst5O/FhnMr2EwRlv0T/rmXusy4wkU7hdeLkgJBYOlqYD8HyxT9owV/tOd4RI5E5ZdGKRhHz1i
Eup3BarYnlM/JvMsQL22U8JEAibsUnFE78Jw74wd2cW8ylcOVIZ95grYp4nZYdXOUIgt46Gpotcm
8LN9Zw0wuVrUeo2W34nKoT/Qme6G7rD1QPgjwg3nvscCTw1jSrrCVnu3dsUeiOUPo7/zDSTnFgjH
VvnGuVc9SP0hyRgXz9V+cuY1OnuLxRwX8N8Himprsa3zoyPob6lc+RjmabZz1QyXYdSowK54auP8
gOToXlP8EQ9+g709V//5v1hY1b6FkAy4LW2OqV9+ZmlLXMo59SMhzTjS9nx6bCEk34zEpFTHTd8k
JQkoCBFpWo5bRKOQ8kIHC3oVj6gdTk2MbFTxnlK+39SUZFc44g/u5LSntNAwIQqAV1HTK1BrxsiA
PLrJ8A+TvXi70DezwoNww1FzxZcDXdcHo5IlAV+hIT/Is1BPvzivVcrq4JMyPpocOjTYfNrNPImr
zAIA0mbPrUNewhrmepOl/SOXBfXoytynUC57BxdX0StYjmjT3ipdSgxQjC0OEwT5W2egTKjMP+bL
OH8FuK2HCBtNMqhtM6SUY1bEu5g9robJr3fOHDcw0uKzX5x8+Evr3gwQ5AxmTu1U/EFhH3dl/BHl
BCwC8z2sGhLi0U/qC6kMxXWLxw3XbUJF2t4Qwx0R5b2wO64NllmB+m167HpUAbUw9JNleUeeZaaQ
uA9C8i5SgtlO4tLjuvSK5lV/Ps8SLs4UWBfRufLogC+iFYYuejgRrmTOzxcS7Wm9I7qWJDeFQ2Vt
27pTtTfkNnEaon32jjPPc0Oo85iM8GS9akATfQD2oFZmzTzQwfnbUzxymc0rjBds4CVvUSwa3XbB
Ur/NwvGAUI4gWDavbfLoSIuMt02iDsJHaDb1PS9OvVk8WUDRYYJL2l098zMPAqBR+GMPKFTeNe3n
Dz/puQUut9qakK/yLOKo2+c7g+f7iXoaiReBTGgDuHvXvmXILztfTG9e103rUZGg+LvpqZhRDXU6
m7FcwNoyRl5ZmTOt7ZF8hS8lQweYFB1Azl3rdXvaRx4NKBKLRWMSHSftZCMILOMPR1vY4FiCK43W
odXC+DXbB2NS3zVN6Cs1iHGfjC6kxOgBgu+wox8MNNGiqlUaBh+c19+6GCf1MG27xRu2jjmpTTtw
21PNb98cw08HwlgIKzZOaH0HTcYMuYe/TL+Au4qTdO8nOluRgrFsgPPuyi48GyHSiTBAO1WRg2zd
Wywx0IpRCBL71KuWkpbApc1+SetLrj9MmVtdFmeEIkC2MxoHcqMqDC6+h+qxMvWnHRtmZzrzmWLg
8doMzPDIT6OgV7A4ROTNl75vE/DKiTJR3sVwGWipMqkzqgLvxU3jnyPOoaNXpP7N7VoCJmraT76L
XMB7YIQCf8Gp3lwecEQ3ZyQueWZI2/7jg/6lH5Ms30VcKSvQJQt6FOH5YYvcBkldUj/D2B3ofx3X
68zkveGmIQCVtMjCUwh1ed+I/CdnCApiRmicyLxMb1u2otljqwmGrLs1FKSchR/+olBMrT16EuAP
fbbZW2kXF0FLw7WMxu9Is3zSWsDoIjN8nnkUosB5NfsKJGE4nPlLh9WU1zEoMXh+hI4oU6vc6ThM
nk3KyJ4uWfKdTEQBlprLDi6DZh8n3ngrB3ftm0uPvz36Hef96wAx+UyWJjn//Szx+ey/fhlPI90Z
RKE3f39cM/Ga84JNYW9K8YDt1b5M+gPf37JJhq+mBV8x87zcYgKdXGcHej1wkZ/NlCGI5VQ0Ls9D
c+qR5IIoGC4thj4/JX9O/Ym9myaYGlzG+m1XE/sfIie8T9B36Vg+OMmSPLl99maAYz0ZVk7m39o5
aeqepjrS1XjwFn0fs1WNR81ZYlperSiGaqeOJPfS6whMbG16HRp8uU4MO742noopTxuvi0dOym/b
AJ+UQHqwUmhe5i3i3HrN+8C6onok66YzqIKl6gnAqNchlgh7hRxNX6nahgVPN4CXFzsk+V6qFsov
7S0Eu7KDhya9jqdXzw2bw6isnd1S9Dxma+Cj6FA0xRjM1RYm9a0cd0NCn91cPpJ42D6UngtTu6dv
xpQfqgAjzRkTC6TgN/t4xUtVGruoDJkAso5svKGydhbjxSAARZHzrvMUJ07fo9nW7wXraFuq3STH
Z8IL85loBPQ0UdQUYQAsHq1zOLQxx26gBzMBDNanbdu5jz7DoCs/fiS+LmezlNFXaCwZFSNleYLo
RySNg2gIz5aD6MVy9RSZJMp5oox5E6UMB9lre3Q3hEF3iTc+T0U/GNNNDfWCusRhO4t0BW5Uxafe
oVc0YMy7BHmy891Xlu8j46hiS6MWw0E1YwkPZL2Jg19Jn8N4rNp1s7R03rFKZTjbvnj0OF7St4ee
XRy9qtjC1dvXw5g/T7k81FlN4d2whDcvt34tKT+zlG34aSg082x+83LzcQhb+wGS4JFNhL139t66
ZjSJSBvIflla74U5bNJyMslk5UepWrbqMa9PXhSuRv4zNwQBcMaCm0r9zfm2WKue9zTw48tcjPuS
rpQ+8siBc15yUa0lKplues6/ciRh7C4nOVHY4rgr5eNPlxWu2uog5UddzQAzp7p8ifzoNI74CFzZ
lAcef6q7oCEzXKW9AY7JyagR/xLmxCMcXVlP9sauQ/wU1jwfoFQfAflx11gGcep7triUR2bilPY6
NIWzH0POu0EK46CqXePLqfiDLuFapd6UTYuHRd59xaF4m2ZL+bMHacqJ6+TwlT4jF3ukwyzQ9aVq
vqzepnva5g3WGJB4h9B+su34GywxkL4kfsgIODKdYSasqz4m7CdPWRpaqxHSzi+zuSlqlQ5xUiaH
kjnOyuiW6G6NFG5lug0opX1iZXvxfCZ6RKeNTZGMN6Ga1WWZXU1F/ggIJtfDwOuefQEhrQt3jSnk
qQOOdhg4ZNOSGMhHAMNE3XCGcnlD2y6mjZ+I8cYnxOBq+9HDD131tnf5+6uAy+cjDD8yU3F5F+0f
v++GG4t8kuLdhJyR77D0ToRqEoNTjC0uaVWt0PSckzeG8bm1igTbM8oYh1WGHK66yuhA7Cna9HVa
bDCB5DegRmvP50Sa9/xurxrfaOUYkd87c08UhIedWmquwQ+8U5kSiOrPuDCLBYSZslxCNTMMAMGA
LkzeU8sSJ7jkS/UogVzuEw+7UxJ9DK7b3unveTVElGwt32hYzrJgY2Hm4Rhuhdsp9EguSJteojaO
N7yukNpFXD6AwvlFhW9Hn2SP2VnWPOsUb5euec0b68EB1bGVmNuDfAq2yjTIDPS1cwrq+UVXl5wC
oC0cnBwDcnhvnCo8waeAY8aJjgg30xfrMH6gvc5iiYCNvkihXhsCwrm5F4P9OKdzQQAcXn/jJxu3
Zwu081aeTbvRm4A/vti7qnTc7w7GwloGwbZehHwsOkrcYBinHwNLTt94l9TxxveBwdomnDt5Z3EB
WFvZz+zS/kdqEGGBf9lzSjxU4Cp4Slv76Dkh+FHTtK8z/W1xg8l3rBs0mI6nPa4iYu2MTc32qEQx
HMagBG4ovBn0mw+M2UQD5zUKYq8lazr554asA+flazXaG2RO7pwZN48pH8pzwOVkPqIq9HcL4fxe
Mio54mPnNKprOAhr7jnP6l4S/9Es3Xjdu7SNEQ9/JEvMjuA2p7gayo1f5vUWWRWMFTUQcRR+oi5y
pxbxtGsce8HMYoE3If+Cic+mnaKaCMEY4QnEXntHRqELE+cWMQnOPoxnYBu1D6rVA4VRLCej6Vdo
QsFxcJTaA5LXKCzuW9nENUEkXDdrDup6u4lmwiB9ts18+v4U5t9dVE2PHdAtzId+epYYokjpuycP
bD8mZ9M/deM3Ta5wmyNsingbDnkeENihQubUSO83objxbECeE4O8YAnHwWF68LW9wWLTbt27ExXJ
gVfFOXJ9AOBeWesoK94w8s37Luh/sFMuZB84/NeUaTay+FHiEDvaRYU+NIXfcST7Exmfcz/k3q4V
wfxg1nDm6Hl0D3XzqaHtZG9LcbB8AWalBU0+gQvfLFb4art4OMZ6bB682G8eSNPam6zkzGyyojdp
3B1lJSi0cEsUIbIWt3kCm4qXc3wqMlKfjZ14d1MDZiStlNUwOJewQm1iUaH6S5oGPRx4OpnVHjFp
D18miQTRd8yZkD7w8Iyg/BLVrsM8fAR0xG5lhvBIaoxHAszQLi+qlXKW+qZc8ZTrYBSSXUMsnwBH
2trVS1UQ16EknqtTeb5R5N2++HUGSLsZt+VEdVyPyXuH+wDILQeCyYrse2nxPdTR8ClCke2lOe4r
kM9sVkZDpTrq/6U2lX3IXd/ZpIE5wAHkhjkurfPtlekLxWg/FrAmOMZrjAYuWLAZZDONW7sxJwtT
km/dDGgLuymJeTFrD5k/9ak4hGBKRpHgAvrIj2DOv0npEwmMAVRWxtaj0PPgRhyeMzmHt1oESDxh
/w7ey86m8oPyl3briOGn0UpzN3FnurcMZzZADKaXxpAJACg3+aQG5yetA/1L06kPjBQvPoejD1rS
1MYFSXrMW/GjaYOSVdpJbnFlMpbJp+E2Eb7LdRkmA3B5pdenPgiKMiWFmYrmzFJXaAouW4eI4bwE
X8FPlae3F/m5lFg4dQVn3+CPcKCm3TDbFI/CNDb2YmLJN5bkaKu62E3CqR6yv9WewZc566pPXfoZ
0/5pCzjGtU8hqAAZwXmTmJYNi21Ferjaz8XBaWX8BAwBbXsGx5diiaRqtGq959DNKB81InwOeYX5
qxvBHAdvswIZ4Yqe0lKIMqGuMWVKUe1GA3snGcffky47XWg9jWg/TXUNqmbvFUZcXYSa3Q0U0p9m
3s1Pvbel3CetauMNrcxZKx+JM5Tqt+WCrKtSNRy9chKbwU+CXe/izi3y7Gfpq4Fj0PAmCWxc4hB4
riEg25l2ysOAd3i3+E5w6xJiUdS7tZi+yp4bkR1SDQtlLFlbui5WEJBYWbajHmuCso8BrbKtACAl
GLaH7xGds7Mun5UBw7KyZ/22rGNPP21IFokxMCwHNjne0rTlxjYCnGwOZuuPD7P+gFul3+XIPVw/
thGiISNWlR0Lv3stOveX7E0Kc/njrq7QlYlpHEhps48TEo3Y70tBv0rjFefZtTBe08U7eOpkQK+1
iYjDAIwbyjSYAhebQvf4Nv6qdVgIZfBSR2G2h0jqD/UlNt8M3QLc5/aW2sN5VVEQbBm0HyzlZsi3
PlTFQfcI4yZKuZTRLVzolmET7bEmINZQP9wBB1xjjWenpJm4Qnh0SMRlVBb7WZqtIG9wFAySlZop
1ZgoOK4pOnZ14/GCSRzGgNpalCFPuhUZTepbTQ+eIXABAaSFB+BjlqRJGeHLXLsWM1B1mBoPESW/
Rx7KbVI7VE6Om3EK34FTp+smZdRKlfh21M3NyqPDebTBTtHpTB1jTMXzUppnO3C/Z6qfRYtPzKMM
2qQU2hMDFd66J7rmGnAkaAO8YmrabecZF5pt/3Bsmclo7RkEyW1G8XRNAbWyi7ciDQ5m3r55/run
e6pD3VgtGPVvmJkzG6XO2jAp18kDB/huiYawFMDysA2AZSzXRc7NpAgqmrHNnAbrBN1Hpt21I7zI
i8+aJwMX6maYb20j4e9Ty72tdF3KFHChzL87ltNVMU902FgEtjqe3Sdyq7vMjK9u80XJeUrL8jJt
DLguTlB55yIZ98zgK/zMaJZ4PrapV0OFh49HUXipG8OhZiQhilhcBsZhq1R4YUSyHsSDr9vGQRWy
FNw83UIe4S/bWPEmo57cMZmGGkiy2z7gPpBUvHpEwBj76GZzdO00noED9bquPlnVDS0RhkUbeuE9
2Mo6MfA8VF4C98clvTU4NKiHOeDXiJ3NY9q5tnTPehGPFy73Or7rgfkaOL4IIhF1DR81tBmDKAto
CZfKEzvPGwIL2IOpZPHxxd7DsQZnlEGvSp+o91TbDrA9MJbQWHfLlx9O4RZrwOj8YEqxAgAEjuuX
rOjsGec/bRYePDuDwT2Wxfnvh6ozzOPMEQjVw7jUKaoyHkRqDNonz5Peke+QcJ8g6zhWMFE7hXBN
231bdx95mfzCDYWfD3+8I4zuFJnDyXVLeUHzfHaw/xO2+/DpyeE84azgBgcPljB/UJGyHOKse88z
P3jUn2QYGz6l/Vo1BdSJgBJGAJq/hSyxZ2JL2HDvRa6IXHdfIVIy55pdiDedfS2t7ErRQrUZUgDQ
7Wh/S+4lG8sayq05Ju0rFqpzvjQWmsHQHJ1FfhXQNlcUD6m1nbvmyior/5p0+MS8rNpFGhYW/eWG
YW2ZNkLDxAqNFYs91n9EZqSAOElOJfSxUQPJGg0kQ8UDeqc/dM2e4f8HCPPu7GuM2aCBZtFftBmM
sy7FJLE4ZXSyK4xEYNDm0bwXVYr6L/Gk15VPtco90ui0VkPUiG3QpVmI/I+tEWsVY3prcuQV3Fmy
TSxrOjJPfzRHUz0LYDrr5q1aLPOX66zpj8YwtfRkSBnwbhIxVAdoQSzIuJIupPkPxmABofg9ai7F
lHXkBKJozf7qbUaLY4yEob2e0iC4xSAShKkZF8AuDCPKb6o/A7CXWzih8Z70KWuVZmTgsJxvoeZm
ENEADwFKIx1hapiaroGgHmvaRhFsLb4Vg4VzHYHjyDWXg1KGg6lJHdyp61Oj6R1MD41LqYkeBWiP
UDM+YGlnG9SO8hX9cibXWM18Dt6FnymAkAF5kD4nxCPeTkYGRMSBJlKYDv7aBfXKmClaEzWgJty/
8aYxIlIRZv2Cq7ZbT0NuXciAEP70x4tf+fbnaHcfQ2jm+GKV2PvFQDJeA08kvuddbEPkwtNIoEgs
0Q42/biRhC7xcTkXCUEiECw0/NYns9dgFQgrgViM6wfO1C1B+OVmY+Ra95K/gb3efQltjnQa1+Jr
cAsE0pe8LD88CxbUouEuuca8YNhZFRr8wpmkPNvThAVVY2Eq+DCJBsX4f5kxUwY+xmRhX40Z9IKs
hC3DbtTnjrNyuME8RqNpMQkpoO/WHSWFlCXcaSl+FhlJg4UnBr3GvBAIT06uxtpkGnAjNeqGhoZD
bAK/GTUGJ2vcjwEujqUBOYVG5ZCrRT4FnoMexDw8A6iTQdZJNWJHSsxyGrqTa/yOATJ1Y+j68kbD
eazZgY8lpwpYeCZXS+PCFqlL+yGD6xNrwE+vUT8S5s/YAv+JoADZOlkMJN1sPHFIauPea2DQqNFB
roYIJbMTwfSawyN+gbWbjE/hIiFUa/iQ1BgiJOVdocFEgUYUwfIYHnMYLnjh1c7TICNBjnTSaCNf
Q47wHQ3XitwroRQEm4qdJ9JvE4SLad3/BSVNIJMaDU8ii/UCy5UzTElEXqbnWMEEWlWS3sEi69ln
S85SnfpiCZp2oUY0KQ1rMmg13VE5u581yMnUSKdWw53ousZJp4FPpUY/GfoLRnGlZcThvpwWQUBr
DhXwHbdtNfvbheQRr6fKb1BY74VZWND8O2BThFx2jYR/w0SO8jyTQr0hVe92Z9m/ETw5O5ZiGzVm
gN5Vlty2eneDNa3+cjTpSiOvFg2/CjQGK4GHxZtmPnY6i+9rWFaGx3Jy8+GdBg9na85Iu4nZoHR6
ar4XuOJcDd6KIXANGsVVenJv/6VzEXRgN2TcVGl0F8MUzj7AvBZbCFj/GCyJtz2pCCFkGwLZpezF
M9eLUeBT41SIw3a+SE0KU72UB5nA/jdT71QOANm5/cBiCeJTY0ZMwBabepD5m6E6cqCGkqHccMkx
5zV9C2LFXI9T55g9E+fzDyVUMxDuE645djFeyZ1yF2tLitrb1KaoPpm+Tw6U8eEh1rA0lPjXSOPT
qHXYW/DUOPg3e0cj1iDgVtsO6lqg8Wuze81QhTWSDTZbbLX9ptfqQLrY2SE3K/pxGUU5NR0SDcmm
cw/njXxWTGs7vD6NgHM0DM6DCmdpPFz1f6g7jyXJkSzL/srI7JGioAosphcGGCfO6QbiHh4Ozjm+
vg+ichHhWR0hJTKbrkVlkYw0MxDVp+/de+4CiishxmUO6DgqbS4TMDndYTyQMUgAiVcfzTQInrvM
XrEv6Q9xkOuXbmYQmVYyePYbOuydRWMrg2JWtzHrsSEXwhhxQe0cM1mDOUYcynouqe+roesuiAFN
8HXOphuJsyKQgHjYKak2Q8zdN4h620czWgC1Sa+Nqa6f0vSpzudDTCLHrUaVl1D+HRI/0Ddmzm5Q
Q55zTcmAJAY8gdbNKXbhbPH4BBn4a52mpqN0sAKa7BJH/o78Yg2thx/AxCkfaYZBSFrAgRPnwUMW
VDf1AhW0F7xgsYAGtQU5iM7f3KhQCAd+1Y70DN/LFkThMhBd+ZORnJSBkoj+1D1O7YCRnLxi08Ym
0WfNk1SInlqn+SCuxmD61i1YRJMJtA0msZoBJjIapXM2nEMqApdIlOJUQFfsKzCLIeSBcgEvTguC
kXdQBiAZe9iM2gJprBdcI8LZralhA2h06SH+oUOXG9St9XKELuBfkLYnBG6aoRZsn+UChQSKHNbH
jA6ivUAjFQd8pBYCkkSFvx0XtKTDMG7VZMF4QIm9iTr1SRvzeOf7SuH1HToh4mO0FRG/8YpijpHp
ArG0xF1fdhP4gfsiCrJ1YrGl+KhKdgadJ1wyAiOOVsZcPiwj6YLK1J6CBZxpN/mlCKkXu5EUwEYv
OLgS5OZWDbFaVabfTmUs9qnutG7Bg+NCWnqJZ5Rekz5UbibBvDcWNoUedspab+HmUeHdKv2SegoC
w7SDK5ShS2Bj6w7xuMkTUe8HNEouLugLUH9tP2LLRFdgXCz6/sRJc45DZvzaKY7cQ5fVr6LCIttN
ke1GZZp7tta62doetI/J1a0iutT1PK3/ICpbJGP/0prtP/7f/5UGjQZHqIx2dIR4KkDGXyVluda1
HepcQA1++qpTYKS6gu6gyE8OZEj0XneVWj4PQw4X2+cpMW7mSXkrU8h8giX9BGjZJTzzFpW+O1IU
rYYyfLdnY2d08rIoPqQfc17Os0+Odig7EPT//hcgFPzHD7CEsA2H0sMQ4gsjFUqehhdZade8mdcK
U0LfBy0fkX49CmBfanwzmk3yBy2eqjr/5mPx96PDE3yu6XyR4k3N3GvDbHSs+v6jkaOZUceeGBNc
oPvOsZqtOXQvStj4p5TAm1UClAgQlBY8oM/OMloPVn+uI+26a9v8mYDbe9rtq0hxrM0IPNDtlXM2
BATaJvO1zHVg7fHQrvvjoEEr6xqUOx2nEvR0AfoPtDcc8nFXK7npZRrnQpQMca9MG8aFaQPfYYik
jkUQhZ9DnejSYf1WZAnpvJF9RsRP6p2xGwL/gNYBNRh7e1isdb2/bhAXFuobipjDKJAMh3p+l5ko
wfP6OdTtQ89hIyW0HOJml2U7R5X3ROV8NkPwYYzmJa6TYlVrb1ZcXEe1eZ34/Y1pFg9ar30Hon9V
NtZ9E8yPZqbgysj2MfaiVeUo9/PkH0UAgdxoKHea+EwQ1LYMBDwy/7rEtp6N8UNwM+QDQrv6DufO
tZWi8hqSVzBCAZ6WDWPNG4m7dd83YlMmqUHMYlV55WgD0E8sbedEerfBjGeswGsATeqi6TlKQgRE
sXDVnH6djpxqjZRm6SngnLBjRVkrSBKOeQJTDlHSjyd5UfACSv5b4YmE92fc8pf/+l/3DBaL7FfY
8q9/4r/O0be6aIrP9rd/1/Z/EcZZOhZv9f+sJz69JU349jF8/17+LCiGwbz8ub9ZzsZf6GUdFgAL
p5llWmhn/xYUa38JARdDsNbZOlpjVoi8qNsQJa8Ky9l0EPpKJLWIh/nHNTgU+L9gOVsqGltGc5rU
DGAe/wkYQwcK/dMqZTm640hVSlZaS7NBRC///0+CYtypfoi+xfCsITs4WbPFi5Oegqx+bREbrAwp
vMSipRHX3dYH10TJIR5DGmynoumf9SF+6cr6YrEBbFGfgF9oosptCcumYpIuPyUijmF6UbH78CaG
AIZw7rCXmDfCSZ4HhFBOPx2QVdNV7JYIpFJBKBVf/XRb/n6Af5Yo/yqb/vErbV1XTcG6SByW8eVX
AuoP6WAWNJ2XSFeTpqz/mdfltbDkv2T1v7wqv/sk7rNKAaI6rMzsWl+XX8FXoG2RGSgmJlcVT6Op
XU0tcq9a/mGHNBat9887pGVYkh4Sf9FN/rJwVX6+dXS5hkzhhEdDLmByFrc14I55n9H4aSeYrrWj
7v0e63Rqkeo81KB08JLQodf1exkQv4Ppq93NXcksUL7wN92DEzx3CZFIsLJvrdk5BMpAiol8oy8s
C4HYsBB4RvKQpkcTf4NcfJoMOpXaaHVejjBrlelds0e41rhtn4xrQ0SDRyvwzernl6qKXjFBUEIn
wvzDZVeX3fTLxbAdU5iLBcAy1a/CeN+UCDR1hUQgdDlhTKUQVEdLIZGVAIeyQAxQPJeZ9abYvauF
NKcin7Zfn32kSvj99w+bJv7xXaSq6prOwNbQbFv9ItIH8DuiWjDDdUqLa2XrKey4sgZ0gccD4Gn6
LV1UR0mxbcg+I8qk2NBzM1ydlt0qc7QbvavvYgYeo1lRgcu3OQ5eM3oac2re/odfVULl0XkhgAJh
T2BR+fUZymP6oUk7huvQ8F+SAJqcFMN96Fj08OiLlm1036DSAF+4m5mgMuB8VEBv4jTHPMW8sabP
1KszWZkqB1DGRqFl3Q8leZ2//6L/uL98UepAAEN4ckHby6Xs+XmdCippRZFUUDukDOip7HW9fsfm
dzWA0Gr8Bicm+IAunj8tLfggGuaVc8TdRPpN1wR/+DZfa9MvX8ZeHoCfvoywSmYuMkUTQVkw0qFP
iGQUPoQ+W9s2f/y4H7Xuzw/38nmUksIwuFdSE18eKKmTGDKnkkwpUhlXXVBiem1rr8sGngvjTg2g
39hTxvmkUIgYxlFxSLIiO8c0lNYBPewVidHPjIXdADRxFjf3c0Q3QAstguR8ZwQ6Ed2QmPRqz8H3
FkmQopMpVdlEnwb1ktFj3pWAJ9y610g0hNvK40y8YnfEqkJqVW5y4Cl81Nm2z+ABc3DpNM2utWFX
gu4h3ddXbiM6T9wiOnYE9Vz//ulYVrp/XB9NWBbbmCoNtsRf7seki7QpWu7HPBsQJQKqpxcjjTe/
/5Qfa8ivHyPZxNksbYNP0c0vuwi4TKbiPu+1vngM7RFRU9U/Iu5r3Nmh/ZoU06GEGR2Pwx25Avu2
m271SXvxbdg1feO/1r4NEKL54GC5ykWyy6f6OKbt01ikfzgHmF/XIGn9+l2/nD6E78hAK+mU+zO6
aaJxmkQiKo2zZ44hgre8R8ZWwqEJOQsQModjZ0yjzAvIB3KLYVYuFvyY9ThW+i6ZC2dLqjqtBm1I
kDXaPv2aicGN2UEuJe/msRuMwi2rFoRjemJqfGUscvuy7ZkFx+Er1KbZs0QP42iGgQ1cWsOXw4yx
he2MwVlny1KBhQLAehpbuphhuUwZA2VdZkGwn8zuUZtty5vHsP/MlrEiwwVYKcwTjrlVzJskTB9/
f7d/LRkkpRp1kWlQH7GPcwb98o6HhdNWaDsdz5+sk1O1bslttmuUwEyQfv9R6j/Xkx9FidSXTA/V
VL/s5GBZq245+Xu9NqNzGpfEnr7tdxlN6pdwQCZp4AmvUH+R9eAmXQRWuye3s7WDZo2b7UTmVuc5
s0ogaxxegyX8w6P/zxeMczh+OADTDm/Y1ypxsgCXNU7ie7jwQV+2O6e6ruNvv78M/+79soXD+ib5
DFVbsk1+XlZrgpO7HhL8OoaAEcR+6dp5iy0e+Knno5RH41Z4UwMeTZJxxlCgP6eV+RAP040J2Qc7
tuFKIydmfs6AmuMXx61rBHRV/RDAJmnotc+E9fffWqV+/7L4SButIbsnz4lGyMqv3xohDlsrscUe
Etkj1f4eFg+2ry5cU1e70llOuXZarUwDhH8+eBjiV/T9/rAlfT32o0Kj9kF8L5nESCYNv36L3iYK
D/0z/blSPsLSoNh4tpvXzClQ0Wu3PTOkCCjCH377v/tUi+PNknfD5mR+uWNONglDJqbjOZW/zTRF
XVFSGvu8NAevtRz8xv4zDXR0cs6uCo23OLLekIsACpbpLlSK4rJos+vYBJ0enLi9S9v4D1/S+MdS
aC8tQYcymftg86b9emlGiNOF0LATwD8gcr3eQpjd+DEW+3mgR1/DODnaXYnFxwTtMFuvTVEzirX8
l7pCTxpbxq029J9xGG4Q+G6CnkmHkkTXg5VsSVR5qnL4OmXxrZ6IYzOVZL4i8GHbIjqDnDVtI3u4
7zv1eho7mrhm833KxH03GS9qg6B7yjd9zZwN3hNAPtvtdShBv79L8t9cAHwieFodkzfL+VobkyRI
drcaSq/paYNkJtqh3LPAkrgBp7IwocGTMrFdN2Z4ng2MHrpo8m0bNLcIRm+LGtkCcO9xHWF8GLX6
ZLdSrBBHPssKAWbmNOSNoTsJmhZJ7cQiXw3Bph6Y7EtSd2ncDgyukM7EYnizAvuu150XVYvOaqB7
+JT2ilN+l0qbulkMbhaw3dzNH2Hclx7Qi0vdIf0ZCfcS2RVQFPwkxPmmCfbMynzrW4Cpuh6s4nzY
tq11LpRkW5navI7CXlmq53Rl5Lq2xgy2rsyIrriucC6dWFPVxCIlwlJWikCRYJbfgLBfFemznLGv
tN//cBO+rhJg2kHRAuFRVaEjsP/1Iews+jay0inh0CrPOxMFcgG9ERvc38Xp/+9uzf+mPgztFLbM
/7kPc377CKe3/3Ndv318b8JfWjH/+qN/e7u1v+i0cGpWhcZBXNrU0X+3Yoy/BGhUKmybM8bPiFLN
+su2JHlXku0PPe3SQPm7E6Op0EstjT2RLvWPDs5/0okBabosRD/Xl3jsLPCpGssVRSxY4F+fkUhl
0At7udlYY1odJr8OGJ6MCcNdK7yV4XBFhTAnCUI2s7xWDXO4sYCRHkKNqspS97qPfrkvxRZD+nRw
MEo2ClMr3BTblL3LJazA8NpOTp4x5eWJ2V3JsAoWJAIDOI91Ko41VPJN3ZNtmxqdsziLUi9vmxjq
uEKS75LjIBtzZclIXg8JEL6u6N4d2wJhR06LFj2m6fNMh+c2wTAKCiNttsmcF3itM/PEySE9hQxs
eP3Se8JE976fo5odGxvdjsMkqGLOA5YCwjhBvtdZbpJaCrPPVUE6rSM0P3ewZwB6qfUmVOzk1fwm
nJa8wLCLn87Yo/IXR8mOlRFbZ4yNtPrV1FucyX64a5oRGbcpv2nzW6IY44ZMvQFp7A7yWe2mtHJX
6j7A+n/smvQt9zWo0H7yOTcFQS02KnNqiyGfHmU5nisDe4syVh3B8up1SS79EOleMGmPCgsYZPWd
cMzNFOTAOsFSXhctumxz2iUFA0EEBYcaNM9qxsPVmNO2yuMTPA8a4/6ARVuNcxfTAymlZ7Op1dtx
yT1J+rFzfRPZBiD5xwbS5MbAcGIHIZm+KjgwYwwTIIeW9DpmsThz/UvYOD5C5UFsYTgzR4u66zDq
gg04uGurpn/O+O5zHBn3552PJRR/iTeX2SbWEdsCB3zWs/I5sJew4AIdWPGeByRawXvB9o0UsZla
jPTLOEhKcF5NXSJlnnclE+p3LssVG47xoLbBB8AQfxehx2n1rjgqQYkFup3KlZ4a0SVTtHoVtQF8
r+Uh1OT8lNNhQ+ZSNveqlROmOJYHqGRPumrZd1bl3zAtvpGgD45Kp2CZtIhX6CI/v+pTeG46ca0Z
XFmvCHXJjkpwTZPfESCsH4wyr3bYYrx4STjJuX6XoFIzDw7JAW22itmuO5RWhCHGqaZ1ZTDGi1A0
XZK+uyty7FuDrr5Uhh1eBzGCFV9zCCOyUuY74L4GVbehpQRPwnOEnRwmK2HywnbgwiRutmFv7cYp
nB8mKU9FRD/OxIV5sWdJeFikn5gPBUxGMn0dNpO2q3F2IXsqhcuBs74qzZ5+KoS9ZixPSre2G7M+
IADXyHmZu50VK5vKcrJzm6tyHw/m2Ten6K6za5oFprqtpC42ejKrZwQxrh1BOK6iFtPG+MYY3d+Z
IzyuiBH9yeCSrgS+pFqrk72qg8HTEEDVszKs8cUzjwn4inlu7XQ1R3quTeBlYJ64A5GEXl0bGH77
wDnaRSrwipQDZQbgFT061akJZjVW841Jzs8FpxBxNiWC2XLEFV1Tm3dFkjMaE/3FlCZYAlkcmWVF
u7gHndQbXQRgJ0XIFDT7viUdRcn6TaQiY7RoUrgi1xWvTQmwMoB1XRDUMQ5XEwazAZlLan5O5u4b
bBrS1n2kH0VTP2mE2+pyuOJhyPPkJNJqx/hFOyTVe6rl8aaMT3E46gv4S9shxYMaNUgffQtmK4MY
9gzKarqvUUCdZvI+eC2ca1QDhGPUZg0aFNMeWQRXXNKTUaBkDmPVVQFRwRH2LW+a8PPby7LTWbsQ
xCeaVGSYVtKflGK88RnH4r+CLJ9a60LVbnp2Ax1xfz8UlznUSGeW4VmVGn9HZL2rYbCfTR+BcaRa
zKXZCZyE1TQewEUV5NDUha6dEhHjTBqk3EJXC88AA12jka/IL43rgRPgdZjqd2RRRHsUDfoO292t
3Q7NWVR4DMMymzzZTfIC/hHl2GRe1TW6qBihb2KoRyEq7fjjP/34t6YMjGqV2s3nFGTaLk4IrCjr
+Kqh0xDUun2uLYCIpqYOj351i5zKwZpUYuBEGb3DMXvWgtC5o2RyUZ4vuXtPFUg9RCFRRLOSNhfk
IdXrll1LxTiP2tAiOdUeghOpIy6C2xl+A75bHFy6I6N9HIVik4mZ86SPlRgMdcuA35H466cTWdYA
WBc0iORBc0ddyzdQAy76qK21uvgezQ1M2z7hU/CaGZwhaqMSbpzX7UZIAsjMtDpOSe7aBFWweLI2
G0V+KChH2AdgpvlCMGZnSo604o7UCphy9n5qA4gbxrElvAMkl3NA3r2ybhu1cOf+nldIgc6FH61d
4nBLUn6cijmqcNJjpGqKBzKSQ10kWUWCR2LYtoPvh16jTsMmnLRTEDTPSkFYiFPpg6uYT8qUnBK1
uPSqFeyIRr8qmOlAOLLcykzeDbjSbhwbJIxP31I6DvA3T40/PLVJ8iCCt2baZECo5ny6qkOyQ4Ai
XzpCDxh3YBKTPeEGyTXOOp1sZItsoUbBwzl+9mG0spDD0rCBv0mSDU6oZon7G0FQlAZMy3hEfRCi
n7aMK6XvXhOevRU9j5Lip6QLzU6cKCMjfrN6RtKAxpVNLs8o+ZP5VNbJOVA4oITi2A8MKtB0g1ZW
gVjlwtlopXlg0aMz2WLR8wVzAJLp34uWOD2fXCIerCXt0Ja1h1z6cVTE/TSVMFVH5rSqXq2qGeWD
Y8trXA1iVSQz3Etk06BQnHQj4jrG35bdzkYeuo1RXoRaBls0UOoCA4aUV2v3Eadm18mhkTa9+Y7N
zUG3Ar+mVh+C3tiOoOnRzQH3ENnHaPj3RBNOEK8mgn0iE8pFcdFLwFCOaebrXmJazFsMNSJYYtii
cFsEKZDZOg5gH3MMMise36yGihiIl1aRI32UzcShDo2JHa7gS9J7GLCR3PZLjqFw7vNZf40GPJ8/
ju/CvzO0EVNvEMybBVkyhtWdEd4v85WV36SPoY7HtlfxpMXDHhWBJDQNQp4xBevOKAnlI2NqW6bN
E2i1QzJkwA5Brk6VBkZ4iNY652XhDOVG4orEl9WurKiHvB1fd9lIzvVQI2XXbfSIAZhs7UGjXXjm
Xe1pDCC2F4E4TzC6XEvO9302jGtGkS4ctl2ueWT5FMAHKldOugvtnwF9DHLVbE8KPtleFlj5Tekl
vMO4TdRjqYTeQJiBO4uIsAxeWFSr4PkHH8Fn+WKOEES7rCGRqA9q0qenNSh2t7MiQqh9Yszyx+Gd
UD6e0bYJ16qZHKt0BjCkPdt0Woaw8oSqfTgFFj/fAhQSo/pYLkgBLuLQqG+IJKytoL7MUxN8mq8+
6wZRaJwU78yw/bDVFuVplj9C1rgXwzXf/yODkpxidV2roD03itqBMABz4yeADYPpc4qdzi2FjXg3
Bw1YdhVPapcceuY5rqUmKmLncOMElY0NzFNCUqjoPpvJGG9h1gCxnXa1Pa7zEQdY5SBwgoJ+ndXZ
SRoT+UaD5mwVumxU7Kq56nT9MTbTKwPEOuPh9mpMMKCTdsCNHQArK+HOMsInKqSbWeFel28ys49I
fFMKSnyJEI5OIToxbplJ8cYhIQI9ns/PsosJKcmsGzCaL7K2eNNp1q4VNb9YPJWlHWLnF9kSWwX7
U2I3GNNvddjM+GG015GsOFOUmEkxrY0GBYdKP3/VtYG5apCf1GHtnJQePTCdEJAaSmBvhfMcmXAB
dPTbtHut/dSo24guERI+kxKG/ENoPN9H0ku3afEMOMY+pyOjUaTk6zYjmhVJZAPTSu08i02Wl256
YioBsX3JDwT7L1eq+ZkIvfYMTUye7RMJkPXx2pSNACZT4brrazqIblvO1P8M5VbOc+mooP76LN93
cDF2dmgb5zxZGEtjvBkQuG5agbXU6dt9ltLUR44ablPlKozjwQU3ulZB/DK4LYZVGAMmaPrhRmuD
J4IlVjkQHvqkxbeGwmlbVNRwbdffwNonwFJD7ulnMN2F/m6lSNvGnCUhV2vPeTcHp3BNpYo8L85z
fkX64AyYcRvVeWYmzpM1mYZLgstd0i+ml2aMD/VArw0nsWtX9qYL/N5Djp57qY91EDv+epyqd4c8
wCId+nOIrhcbbsYWK3NErRaxYBs9lW9tiDazWU5VQ2NvlFS/VhqRkr2aPqhJrh0dPLp6kePydkuq
tU0Am8XtnCUvmJUJiHX9iCTrNZ8FYCJngHByry/hmaHNAMSWH+SByAe0q/U2nvAFVMV0DGVGo3lS
nEPTafrd2RTjOZbt8GCM7Dm0klbDMI4n7O5PplWYB7z/8yoIym/SsA5VkplPRCU3QwsCtvRZTVD8
rXJgoh7SXg19NHujr36Gc8ccmGVZINVnaCKgFEymRd4DOXqjKbeaj53NaYJvuHFNKmzTB/Zq9l4x
m5hbFlIEsV4QsYmihC190AeApsA64NTOHL0GGF5dqHarKEWJPyHU3hKY6dkdw5mYl5rmbZhtZpNC
ExT2hCMtfpqKHgN3j2tiShq3ilPG/rW56yp8HbzR+RZPwKFF2MKw6wmrTHeXq9+jbBsifzgqFRtb
kxvNraZkzq7Rr9QZH11A/ldmIEP05Zkt2973gQIBKozXbDZrzeq/k5ii7Oiws0HBatgAjiPyE9KH
26cdnCeTdOYy12jeJuZH3vXxKbPUo68QKlHBDp/pnOCUHTd10RUc7YcOm4KyzXKh74gEIA+jHmrX
wHjuyQTbc/wOEtNcd3X33TAihkvozaolMaMe7cZTiP2DDkEpMsSYqNBurnqvHVhKfrxmy7OPGNwb
nZgSuB6rjZU1+6pDUAIG2/TsRV8c0Kt0g3H4rLtioIeCc3EGzuxExWfgZGjlAvuNgkD3KmLK3TGF
9GknSb0qojPiyJVRPfAIRN4cSmz8J2NhkBIv+Rjb/hP24fkOQDi+7FB8r+P20zI7gZ7VttcV0Ulr
VGrqmnfN8cpUansqZpD2YJ0OXZFemrI0AAQccJsTBVdJ0l+l9Z44xVGb4uLclNnWHkd106jywYiU
+Vx3w61hVdkOGy8BnHtYLieTRCePycZJjZ21rUicuMHUHVofW6nQtHJPMIe17kvzkUgz8yl0+jVn
2wdQAOlLcOkAsMMXl4+ovu0tvkH+ZKqtRV9CdIiNzzwnf2JqDPXUG+ljb9fJtZ9GVxLZEWVAUWA8
E58a7nCSzZsYPfxgI2FPbqzUVM4VInS73kZxiDjYRqUvHMrU+ZTiAzhUpYpqYD5YQneg5/f+dTVV
dyLRN1Mc1DsfuNEqnzkd1B15O3oP4CvT8V4Y1H1GNem7MlfSbboc4htQcysNgdPDWBPElehQmf35
I+uCa9+XypX07U8hRvxFCXVmDP1/WwWJCe9sUAiEw4NI7ZeEj7HoHgWs1cXfzMSx0D8A08d3cynO
RHDwY0ix2zY0IQ5j0z1U4JUBPBrRKhLObRljSarbQX2e9HJHR2HjY4zbqo7sXDUOzbMQ2F1QSXpo
Mb8V8P+YvFTbwOpwxRucOCKL3kNUTJ2nBWAEmpGfWFSO8DD9bax5YqFuRk7SClyTcaFK2AZTV6W6
OCiC3cyukpu8Nx8xtah41h0Tw6h56cZsvOlUuB1VLE+jOdlH2pibQPe1rQIJcgvgdm10enyOInGS
ZICf1VS/QcJzMaIZwTMsILAw61R/bAzDPnLKclZWP3J0QOiMR1fFu46Jqhk8QjGDGwXMLCNUHqkY
XMCMARIg530xa/i/K9AUR+FYW8Su2imfY3CFhrbYYLR1wTGAq15QNE4q8P0q2ky2PeI0ADTemdVF
ImjFnNboO7XFyMv5vdzleKNZuXHTjyXu9VkT8abWv+OJJztDRjAHyVkYlPqJGunBho4MvYeCwyIp
jZqwitfg40DELv9Qvys/gqE010k1TgiWBQRGE5YHUBui4yH4bzOHok/rkCyZXc6ORZMiKfdFa75R
8Lr6YFmXvuj8FZxu3aXigCJy00iqLZG9FeQdbhJ7+mDWDug4aL5JE3V36yja00CLz58i5dIgPFrp
5T3nnekeW8JJ+oAtOWY1dNFwbIFAd9Zi5lhEGsN4MWG6rxKdCkVRDEBaenbrTM0rKDfgE0uku7md
hvmji+EdZWIfdJPnZ8p90g7PQfk9RqFRUAWYGmL/sQKIk7/omXFpagfHXq/f2BxoLanca4gOcUxj
Dyi8SJDeByE0w2dROHiKff0GORIlaXxSlW+afFEKe0stfgH4exK9tR17hZCZyHYLpaUQTk3PZGMa
KuPG7tG3OAv6KNd2OBsbyC38L2y9n6kzHomY+ZZT362wEtxA5I1o2VTAQKJ3Dlw23vHVOLAVtONE
r3ZBRMsoor/spmn0CV4K6wyZQqVxyYBE50lIyJQPRtq2750xeusuk82RTHKJlE67wQaAa9Ykm0hd
vofMwQ92hWQ83CSf+YjcnQ4G5pGaw7a1H9Tkk+V85NqbN3Zj7Y0cTJg9x+8ByAmqWVAB8ftU4L2l
Oc6S4XzADt6EcfS98Q2Y5RyD8brIJQ3lPZMZh3ud0/uC04K/HIRYpy1fRG/4WtyimhOCPatz2exg
Ml36LMoeRsO4Et0UYKRxxLouObTUSyQgmb+uZYieQin4BGRB05FpuCKsBY3MFQqG5jkMeGt8ePsL
fG/g0hq9jpOUi0Vm7mEMi2uYOAhGMq48ug9+delfeliiq5zeXVf4OwSUcHTmYtM56dKyrOPjMIr4
KMGIrm1anDQR4uKK6Cd49GFwy5FTuZmCMt9RFdPOIOPoKhsKxy2jxT/Io7zyodXsq4IqDguvT+C2
Px/J1mHVhODhWKzmYZcWJyaTxcko5zced3lolmTRqTYjt+Pi8bpTPRt6dIh6yGQL+P1YqA7GaS0t
PErl0IvJn9jZ/SS8qjRzKr+kQo2PO8GsnPBuwBkKTxVnNU6as2Ul4ynJkOsQBd+Snm37XuSM2kPf
Nao7SLXfT0l6V9VjeiQjMV6Nufz0KRkuIOLhRSCRcWIkXFrnb6UWc4jo4n6dNgNjbgAiWIPvYFjN
5M5l+xAq3drojdntpnTa15O8t5mUvo5hy2sDGJNRrEWjT/TizGcB6ZzIIVLUdFhXvlZuJ812azsc
rtuQPIwpgQcblMonO/+F/kOyn1H748gnHgQVIUHahPgQhgpLYbIDBgxziXlEneXRAS/FDqVDM4lU
kDBZeQRfy70Oy+sYzvuhpiXfV217GqPotcS7RRydCVQu7lal0TsXO7/jUpzHWQy7GmYYvDcQr9Nn
N2hwhJsOaw1atXUSEOVHpNlVWlg9sLLXOqHtFk32BoZPNcTdxRqM6gawwyoxnN6Dh9iuVSs967Bu
jkD8QZBmCRGCTswZHqT3uuIYUuGSPaQkvJBbnK1lEnM35XSnDeRx19hmFjhldyAr4YwaTp4qq74m
rW6ix40gpGQEXFnwnFoTo2qm3VSTNe01Icqjk0mYI1P5LjRzn5T3iMXzdS0mh70Ud1Q4WjeDEq+l
jUm0iTOG7yAhVZKCR35URnTFiWkTuAFL0EyJSQ/1kS44WfRMy/xIAiESsDB8M+2CrDqp7ksWZOoJ
jSadzRO2ynuWEADuMN+6F6LA2B/owlbYI1M9cUXTT5v+2E0DWIsIElAUByamVevKrOFjGHlxXSb3
xKtBL0uUGhuG8Rzm9YitilNPTxNtMt0inyE8YvMBoeA/JEv6Cw3gHfxVyGb8CyjgqUkKiC0hfZqS
YJQRRv4c+kwuse/6sdiYTXhRY2ii1TBQYxlPwsY2btTU8E2Wvon8KYkQp9ojpzJhMgSMrwXBT3tf
7aAViiTl6JNU6xmm8lZmQPPTqTLXg0oIairC85gar5oT8Y/PxGdlYnldwBurcJq1R73tDrANcFy0
zg5Cr+YFbX0OGzqdYLogL8RYxqwENmrHPK40/IQw2JF4bBAHK70l0FpEinF0aHqxvLxMtibuMz17
1AtGixqEjK58DmNhHOGpUVu0+QEL80M8EkzJ5HI/67W2gcFAn49G075YiDyMta98mrtro/WiPh1O
RvOaOu9dLYnKmJjKDUp5Z2s3anrz30Sdx3LjyLZFvwgRQMJPSQD0IilbpQlCVVLBJnzCff1d7Dd4
g3sjuqO7SyKBzGP2XnsCv5euDWQ1YluCupYzYwLG5kXc6OdGb/5wH7Uh5zR9r6y5sElz62v9zVL2
k9+L/sBrHfU9J1zJzo1CSyeqAarY4CAbNcBc4mrxLNZsDGKGZ/txUpU208S6oMfqSyj9RMoUkd4R
Eqljq99SpO8QbhY7v2JGg3r9Nix88Mi7dFZN5u++tru97SHHc5Ymvg3IK7epN0bpNOcgbYnnAKZC
h8Yc4JwZMbY/GG/9FN8Elex+wRmaIZZ7Jllm3LQUNbd1gYFRTU/Ktepn2r/NYEzZtaSbO/s5WRR0
jkd71r5Mv6rQzHjbKcumg87J4hCbcS0rpjUQ96K8E/xuagWno1uKoUHKnYwFcD88+BFACcl3N4sl
yjKSJaqG32lcY+jhaUuxPPR1OKtJktJNZnW6EBcy56C2IE0vx7jjgxfzuAMEWAdO52dXPnF+7Sif
c/VDovLGNB8LImCft6EewEqOzUQ8pD3vqrV9lJCdcYylV2wGZNVhLqigUcWwo1LibN0Kw1tv/uSm
VzhpEJzm/ClN5M1pWTJni8NymqhFxd2a0ApkEzwOu6Q2xHpIXYa33J9UDx+zBcZijmJnY/o4EMDF
+DCv1ytbpoQfSHS7meyytl8laUXqrtgDXQbXeWc0LniCJrUxkn0DqOMLzqEbZPK1FcW8Qy/DYtUk
1bAFGJ3kvBXeaMUY0qlSsnz9MOKUpxgjuGE+SWagSIWQjMYxIUkOaRn7LgcuYMTrccREGi5QuPY9
x/6qab/ogvtf1Kr+ZlVPAzcIgRRNwJSAkJ287o+tGiTAx14ebK7ox8x5x2U1EqlWnyQ7yECrfP9A
Mo/AHekjAkZXcs0muryKhdA1dujAnOYIDc9yrTIEmfZqkRu/ERU5E8XyYLHEgQKqRfPMaghfCtvk
9Nlp8++iZmJdeMirHPWXsOQMrsiDctwzUJ6x4UOPa8eNcvLvqZnvj+MFduNEW8Tfm1kBIB7Zkjyz
YguOiPjB9Oo657i0f0mBMXQqkOgnNkLJ5dO1rDdhjDZItvSzZjBo9epAsfCP3EkVgfroSX6DlCKb
qDXIJhI6RIyY67QnT41lTcamK+xd+zB1e3xFZ5nVdrAYrDm9pAhdDPSUCiRugXnb+bq5IL4bo9xv
Lq1bvQseQUbGlK+pyL7pAsvdf+ViSslbN+JqJDfcoYHSgT+kLExLfX1zRPXbQylGxWu8WQgjYt1J
A/ZZH4nrkEMHnkW1831ReJQIcDeDV/RdNjUp/BzD8g5ZkoRLQWKMljibvEU3McGN0uq/hK7zXjgI
W6fVUB8mZJCldX8lfuYBxyn04L+/HIT2Vi9aeQDabj1CIamRoNqGpeaw8RLDOyiGFFRc4wZVhii+
AysfeF6JmEcdU4Kyz6UeAqQ4SQPhSjq3/6pyqrYDioUAeeV074dyPMWSY6ljFgudI3kfBvcZS5Z/
q3xWcC0KNq3ByGPSFfU9oQk+JcqekpPUJi12TxUllC8GJgYULoUtEmh65b+YOvimmSTyLKzucz9G
kV2nH252pa3DmjmyT7XE9OZQwmgxoH63xs9J5inBRHlz1PJL62juCacl/kUPwmIxaPYzSx8+s54K
TA4QCYfcOkDA2zLltz7bdiKeov/rzTY4qcb6N+UiSlCI7ld845uSs5lbPlW/H+T5ZgWZkVVXpvv2
C6IAk5f3ET5p7WCQe6zHrAswWUCvEypCzbDafW30+wei66At7AghkBVRlpANwH9K3IoF19WUf5t2
6R6Tx1YdjIQ4OmpkMZLY66Ex4KUWBDFtJ4mkx4Q8/4Yyz2Nhpy6eRk+IBsC8a94e43CGZrbrUEAu
70pTXyMCjj3th4z6eYjMfn0FnB8fUfcSebOMghzVeqsRpHzK8/QAyATsRw3OsdN0wCN1uQVe6Jyl
f0lSmeADLfMwHmIZrP5rqhy8Evr6y8SDs+8LvjM7M+669J9S1g9H/HV4g/r83uAVeKmkCBDP0zGN
QWM/NqlGHS1TFt/SiTJqosiA7z9ck7TVTsa8RT5EWFwuRliPabBmlY5yzLuMC0tMSmwZtUMDgiQr
mbsQ/AwxuNw5jHq29UgnVCc5qmumNJ3GbKVw//JbJGQEM8FWVQE1aO6CB8GOfZRW7AHNr6zYy2M9
0ZIMxjOi3J9J880TdoMfu/O3UDUVuWzrUyJscw9L/UwuT7Zz51adWvVQei7nYh5+DHhtb1lLB1oB
QannIn4qemKY4ST990F2PbPWtrTD0q6WW1c0zk62dRlEmSn6u0jBE6e+P+ydYiCAZIVv7ylq9G6C
5/DfX3Z1wVpu9mTQaZ55QeQLCHIGd8nIeb8yFwKUG0d5Wu5gcR+k2br3sucrhVKhl6N7MhlKwXAs
1dH2GyTE2Ue8PsRrrjedRg69YClXDyBPdp+WiVaB0qCtJbKvQrpRYa2frYx1xD0oVBKUUuyV1j8+
bOpozRwGSisnOtIWhchYUyeB4acq3hKl3G+RANRNu0x79pgj7ODRkQGRe+CuWxDDBXmwSQ2LefJs
RtLpGodNxZqTwSiYJUCIoc10kQ0bszzha5e4IBAt74z+1LdefR7rkmff2Fc5f5Je2Tsv1iDEDzuV
6+6TWGp4hDFbllFDIWgw1L8YhkVP4POo6U0TOeBGuEhJR+QPKKK0IxLc8MR09CFFRzRo6CNcERra
UIVzg1t0mpqbq/zqqXKTP1ku6Qt7feX6UGaoNGvaqoo2ET7SDJnDQIfRZ1CIHugdFM/3umlUaFYa
NksRG1cQPaKDd+kwZ2iSNImGWvzATJNPjm2dXLe3dqNSDWTd+kBQ8Jf6pfShOUh6EJb6ZwiB3xmk
9ohUVIqjNrKHsvgTEyowCSBlpHosxylr7t5kyMOCBZsficGP7sBPmQYdsDHtfGUP+iYe8vnJ58GB
eMQoQKnC+yBZ7ckI3dkkd3HsGzQ3rn5FOU8ap8da2LVDiYf2hL8xfS4s9+VxOWRxEX9ajR+SP1Wc
JagGTG8oQKZHZLqrlWdTEotn2PG8Y1VKoIOsnv7//+Ii+dONqtiXCwcIow9ItInKzq7kB7MMAuZk
nKC2mBN6T6Colmax0zKSV6tNp6cZicSW7l4wVcwpoXut3zmWjTRyTb+rynTIeujHWztWoQcb5S6n
6rWcirc209uT6S75fQUUjW1Kbsw+Hm9Nw67EF4hNBSsOLzXSS5ab+3FoTsTZ6Lsq9swnqBDLU3tF
CKYOYzc8V3Jg4FKy4RYabZOlLHRMnJZkjP5C2t3uwVvowSxoptIjqKA6itPqH8SIq0RdtDNiN7JX
Cb6ghC89h2Ls0qBixcWY4xOk8500zneNJw4oBgP+jPZ5AKYYkA3fk2yQeGdI3QjkIlGoFyC5v6ep
LF4Sq+nPS1VePY2q0FMzC143g3etBwjxLwQbAX5GNjIaGkmNkErnh27W9vWY7W2zg4ONUK2sqm3O
ht1rnHvFTEgtoVGhERpxD5ck8dVx9ksygZxq4PoooBjXJMafcrabCy810i0GETIBZuY1frV1Yv+o
BgK3H8drmgrOWOtuIms+VLqzt7tmxJAyqI1LJmuvZ7fFIXt9yo0HzXs4LPVvUgsIMQRfz6bfu6E1
O80mlUacDZsGrHVRYM9uyN/s8kUQGCKyr7Eg6jodzZc8Jk7c8XCO6UTLJGRk8Uu1kBRpcWlo/hLt
ZJHhbc5RZndF0NbgnLtuWYKkdPswtrsunImN3hcm4wBNJeTnEJM9EBFxATkgj5Y0bwMgtbc5Zm3G
U+Lck/SRR1887D0F8wEy6ktWyZfOBiaW65ivZSd+SMsatomqx61jz3Ag57UNRoQoAC3ap3acT6uo
XlpirbazXYA9F0mgOTL+qgUdV68Ze7236cksNqiJtuSor8Vz31PUEeN9HpyUZ7I4z2bx5lONsnwb
92vsfz0kVSuiNGYusEaG7uaK7pPl/Qnq6mOHEtJjG2wGfVNjB8iFbacqRm647ZbKJQHB+eTK/6NI
jYc9WIcJ0eUCGe8zPnKf0ewZchhfVn6LVf/RYUIPZtf+Qb+NeK6w/nKyHYd6DWedr6t9WRz1b56Y
RtDJbprRIS7Iq5ZL75UH/C79PdW2dpVZf8Y0DpOiaq8QQj/R7JL/0nkuXOOaqUbGnFZL2EHj8LNn
3+U6rZO7b2JGsxfrtDZIS0B1aVE9QJdBg9ic7KV8F+DBGIeM7ttYFrxXk15/tLjdmJUBhgOLhS4j
HzjSSlfng4lhN1PmJcFsDruZolPT2w6+js5y1WQLMzmyCZ1SQWYtRE0WSwQ3NX9yhulZm6tq19Wx
sym1XAKm4gFbDfFplUxOSh2VeUIKWeEVFfVz/pV1yafnfLQpAT1TAhlFLERq6WPB0+dAbVz5c2P8
ZQGP1EO99JRoNZ4760d7zEsJG/2pKErZHLBaRM7AxSDuRdYjp/Ss2/hA/Iyz986T5G0JMH31Vqhc
VczqzG7LsKM72YiFNI/MWr5GKo+hhbrkwlMCnW1+ucDNUN7ACCZ852oZ66+2U998SHyDWxYPDM/i
cotJ+q3W8rvPc40Wkd6bz9GadED5qqI71zTSAkhH8DKEw+NQ8Vb03UbjffGQ26fpSxybw7XIlrdZ
085kDIN5zMHOE2i1M+WESrWCbAWbb2Nikyc6DvnZ+lKLRt8D8nxhNPzHUP0vPD18J+ygLDBzWwSV
qAlLNg1yvcY6ER9EejJbEOychpXWaM70l95+ZFg8JvnCyfc5rMTf2pSQH4mEa0qjqRfTU5xeROfk
qFhkvCOungwm7010gOjmobumZOWMM5jlKU2OY+PqhAs94px7Jpcs9brt1OhUqgVhs2y48N8NDyWw
QgWftWeZGKBxV2drtcN0h+LMgqld+yJQ7mzsMLlFNoXdlhL974rcIlor8ycT40uDKRo9Vv2XejJY
JJ3ikqO6yFn+NFV37B2SRjK3Owq9/YdQE4Z61Y/HlgjnqFLurh6c9Wwbg7NVieeg9a6zcy7NBQ2P
AczJqjEFVXazWYx8vVZpkGrLrWhkc8aBfasNle0tmYiD1zZBAVHr2JNrx8rDL8KS8iZahziN5gRe
epahi0iXv+2AllM8tJhiGAxGFfMhSxuNtT04Ln3Q7+q9LJYfFq0EcJSDv+nRSTB+r/FPWWybzaUI
G0pes54BzDHGs4xmODCoAm6r13kIlga2ZOdwo3FdJjyw1OiGue9p5Te62bdB9lgcisW5TIa+BuIx
3sOIma2ME6wMRjDbnubKBPS8ptOB4F77yLzoHMucNzWhDOTJICMKGfhCVtQ85hGJHwbVIAEkuvvC
SIbYz4HzUDGuaYg9X1LkBxZrKZZv2sWaQWMNXjug/WqmS42ENAG2167pvOmyMdlOegeBbHXAlXvM
yVr30OAFCfQema+Xho5brmFe2xCzOd24fBTtNW+WY7rAzVUajSPRFSbYV9aAQVIRCN89tunl/A+l
rYgaKT6omJ7Xgq0X16apEWRm1axDRu6UhqC/dACeliMzWmqqWtfayzW2N1JjiAPdPAlbbygj7dQt
BtkMpXrNV7wh4MZ4yKkdi2J9+VwNOzCG6m11l0PVsFJhFbsroMRtTH1QQNG0eavF3U4rux8NXFmg
Wf5uAfOqJ8Od7J4jnd+2s9L78gmHYgykqWHWa9PTkDdllGIB2aC9m88EhtE4TrPcg1iuN61tX41O
uUeZu5953YQqHUocjt6xs8olzBwTDGi75JFdj1BmvZrocliAUKNJv/FxHh31Giqns7qwcInuc0dl
blHwwe2V6mbKwj7aEm6fTJuD4y6nukM+MafqRCqUB0l9CFEq/AEIod9rc2Kxbe5s0zs380wuAAhP
7Lh+sFTa0ccNbFvzN1T0ULTaayWn50VAaCCR7BPK4DOH9luuj68kkUOX1x6rYRKgM8vZYr3qD36Z
/nbXYIX+XCTNa09kYWtYL7RzR62if1mJi9KWj7pzzo2lH5E/8wPEH32lXleTwCDCjUXEpfBNhMbZ
scW7iyUybB7s9GzOUjCl8rj6iM97XpF90gkDD3wyPCsnTfbCAC8x5T1jEKs92I3Q2MAzMm5ZYOrl
3O7hZoU1kVDgu8lgXJ3qdWa+OKf81wkaqIl9KUJTrs8ekta+aF4sd7mXHrPueJwCkS/Ptug+Ggfr
5pg2WzV6zBdthnLpgn14iA8Iqq26yI9Fav9xlDFRllZMSqxRBFXcatsS589lUbyXhEAQRYY2is3U
xrLaT+W2L26uqHIF6hAmj74xfetu9dIjlc49e+cyeSLPsahC4DZbMXuQ8FsEQcdKmBIbLfp9wJZu
qoEN0z18MZ1RYX0noM4uwas7zTOBOZ+WxSaL52DXQPVc+4VVGvlw7mw9z2lOZjdxE21Fs5zJZd86
oM5mYQBg9EMUuR+y2rW0NPteZz8h14Ni/IqUzH7o/hZi6EtdbRQsvoOr0wd1o1cEndcx60HhhBBx
qSOrx7Ca3bISUUKRaEWwxHpOqlQMFX+t/nrx4QHLJr2DuSZxAbzbiJir5n0e3INBTHEDobGMZyu0
egqgvkJ3D1llK2iZsxT4aCW3g81mrSquQmEqL9R9RFSxmWZzL9lREW58pJ3djZbG8F7/YgNzMlR1
nMwXOaHGzVLGtXPpR8hLy8CS8QW4gHjS6/6QFHMgvVKLum76mi33uXMR+YH1YTJbzhUVKqaupR23
y1CWh2SJz+3D9ptMK7dfyiG75E8V//ro4uAWxFzwSI4Jwq9zvdaBXGqPT4ZnECHQe5/Vx8f/4tSC
8/ifAAObNNxFlH199oacgOt5tj/n0fhxDULJO9X8poHmnkYwaVHZRtOCTKLN+eYRrm7RqDsYAhI0
t3ETepb0iT9CUMGOmUkwqMSp7WkPomkmlYVok2MyJ96+npJnVUjqpZjVlFDdRRbWD/wWRJmLeVCI
nPBjpzuCXSHk6ZzNyzfB7n+UlSLU7iEOe/mTjlR9oFxZWu2QyPUWEx9HWKf92sY1OUL4B1FglRXS
sspqUYs7n3XLYzWhUNi6af47t6skGh1S0RrbxLLMaVqWzRsqQwZ6kiFsD6Nq4/jVl4J0zUgxHUMW
nw1BGYjt2esh+DMxaSCiotzjNJxyogqG1AjWUS82TlLw0LKZ3NgDO+ysDmqguIeJtKtN2qynNR6o
dLQfC8nQth6MI6i6eJ+QFctgoP7oRphDhk5rkkSNcnHuez5gW8M5iZrEMUvHreDPlbblXdeocrbg
mHBH+vF73fMFDRNuKfJ0VO4YgXTSsCewisgFmHXybmuzJIXUOULEfxJJ5uyn1nGQjmhsdB+CTIbC
EToMQuIfIloPVyOiwLat/ilT5ntmFIRyJUPQk9Xq1TIF2siMO5Ul4SK1f7BmyYrKri/5ivBrjt+n
h7WiFsgLIDJdRU6DJTLrTl7mUQdXTho9qj+fRifzr1jdkIDRoW5Ib/KjlmeQMQmiZ4mpp5KIweZV
Q42cMXbtfbjhaXYfFpC2pvudemz8/LeqZlXigb7Gw8BtvxLu2/Pe44NMTp5GSqzNN4zxydkOzOba
svvjzBK5r8iihlTGTZyl371Y/0k5PssrypGaytsttwMfajPV8UYRxIp8+7ux5TanYXhMgIiwqIOq
Rtxo4OtnKMXXsviXmUDK0Tamy2iii6L78RP04Ry0ATELFbBtgSA73S41fiLNcjkeR+Q5PD40R8u2
cPgtlsfGTM6ss4ky5x+qlqjV+XESWIUWGI1NoTjVC4YvUcFQjgy9e1tlDMPTKsh12wlM1Kn0RWz9
GTLAuC+fa6Ma90iPL1XikfA4AImYSn3nGIizWyRMpcNX5D3UMmuCMHP9xwTyLR8R4lrGyA2i+bCI
ptHduta4X9TSbkmQrBmmIEMUCSslLX443pp5iyhNbfhbeGTUr6KzZCCa39xPDjpHZOii6yhRDfK1
Oh5AO0aejlOKLk5bp1B/ENMWu9uuqzbwJK+8xeeknIdA9xAzGZAHcBVgrq5WHAe2uOlifJej/dsd
upW7wQaVmhsbNORF2DcXp20vmWv8say1AQXN+IKV6c3Rp/LUyeTNXD8TXm4imjnQSm7xxWTyAb7y
rRJHlLfTtk30iSu5262sd4O44OdXrvjBYd1tbE0dVlf91LiwdgtXj0M5tIEJFdWEqBJBf9FHvwm8
NuizrjrGr4lEH0BPZaIwl0eJkxiBrveP0J67WULo7Mv1kA1giEfT7Imt/nL0rr8jRoq0qtz3jxNe
YtEAyIPKy8yh8cb5zRqIHJU8fOE0nvqhewZG4e2bbjzRj3Iopqj0XU2PpsTOw0IjRaR41XpyVMlL
iFp3eOmaBG21ywQmy4CRI/alyhizoEvh+msJe8XHGlPSi3pOcc4n4hNm4hweGUdD0KHMD0yGkrXu
fjmL71yJqGMdTeOZYUNJDPs30QVYBRMDr63/Y5gZxd1oPbnWcC//TJrx3Q4+JinOTMfT/qIafJpN
m3TyBm2IZpJF5xGQszrlq5tZ7Q6t+QmSPYE9NjFTzPKtzWq7v/MF1L5jqBjYiTVEFXOgtbZ/LQOq
TCEAH9ZccwTyKBbBJsSNmhHULpPWpx5TE8R28lunS04Iadi3+g2c+0E1xnofrSJSBU9aXrKAzRs6
og6zN24e5Ppdm6CKJ5DQoNPNG2nvVWz8heeOSB9wjpDwTjykNqDFi5DmyQ2skmH8YymIv1VMvA/6
YDub1B2J5Ka/PZBezmG/SUoKE8hg7yKx/ym/l1E9PaVd894n+JWyEYd7wgsRu5RYLlY8lTC1adb6
zW99/xgPTcjeIkZp4f5yrRR06gP7Renf51BjB/JFTH8mZlNMHUprO+zBX0f8yuEyzVhFV3/H+GQ4
1Jydp9oVtzLjllSxw6lUrglxX4jhYoNBY0zQmHQF8jr3q5ukz0ba2+srPR94afTfDm6wRmEfWfwm
0pz1qyPxRJdkSAnj8QZ7PJRiUYf6NV/QI2YGFJoyGba2Tf4WZSv0l5WcE6rNi71UaqsLXBzCGF76
lKmolfMj0Dwgq6S+g8uwrsoK2SXR3iHr5mPF1kx60Nk15UubEQE8cKRsHsPaPB34I3Fl8SUgi3Kp
ctm73Ct/zPdJ1Z6wI30mLRFhraj5Oho+lU0+sBAa21LbojVA8PxmpTpQBjmrTZ3OhKH2Nx+7S1BI
XAsEeG3XfFgPBTGqziLw6CXJFGpOEW+Fa4TVNC5Pa0GNqtEMzt9q9UmQSyqqNt8mcUsaBV8t789U
KSyz6QhFmtgj/OJpsDxuJb7twxKnDN2Ke6z/7XIGNVD4slAV+S9POeQoQ6jet6y+LwRuLPiCcJLU
DJkik3CgFweGwly25VNH2dWg3T00ZYx0oaLfaBAkz9UoDj2ZlTwYA6EHNqp8zB8FZWYSgYBvD0Yd
/7OF7r2YFHPa+lL2Un+RH2xv5hvj3Dx0GrJpiamMbFFZL8rtHlqNOP1xMSLU2evglJjAhsLZ+512
nSRT8B56SIDiOAn8IcFEI7ImojBjRkZ+ERKAV4UR5Ar67WYYif6cVYU6Ekv2I2qziPoUZUFvGwiS
Ctb4aJ1wLQIQeX6IMAyz21eTe52qro9gmo3kKssvYAUCn5YqQSq2whkwnoKeL/KZLwnj/Lb1Yvfq
+cASWtgQcdqnN1txPygsLjuVsf9mSMxc31Xt3k+Wby3vi6ObEz5BUMZLU5K3zFloOIizu7QuSAZA
pWIquHw9yQixN67R7AN/YCVVhGRPQc20jH2csZUblS2iqacbTp1Fj5ZOneMFG4+hMKEjD51PVueV
4dTLi1EzMjEJoEdxY2jbQucyYtlebbvZazZoh82/s77spcIgVKdC7FJU37BIffEiNT0FUYfxGhEP
s1hmZvvacTCQWN1wd5cZlWXb2nAsKGhRzLG/94j5QDS74Y52Lnn/jEuYYiQZxrPNYGMzawXSShOh
QZtJLZi6NvDoSm+ZkDmbg6salB50GfWrgQ0X55keesvylSqfKxpZawsMvF/kturBzJNR8qIG6uFu
tf8SgBgQLooddDSjWkzvTBTJ8bMeDmsoGY0kXkfXluaxxEl2+kFj9nEEZL1nYYO1dHocBoZkQMbd
YVS1jJaM/IJZAGOcLMzOaETEWs/naVrK7TjTd7KY2aRGm/2yHm2yFXeB5hIfMnPkbVh6ead16gfG
NxBbNUwbBMFxrpHJCXL6niUQlzqBo9M3rjSU7qZZF1YMmEXa9pGP2AievsH4zUlVAUxs3lRutqfO
nckcWJ5707BPhCLuE3t+bJm8W0cPuRO98RaPH0JDWxyLCfOJ7Pbp9G1wnw77yRjpyDB41eZJ+so8
SprwQCEI8KVgRENScMD4Cv2EdP6OTUXNjyebIR3yLtYebwic0z1Gd1yBObXqmpmEKOgMN+V4rAeN
lAP9r9M3zGu9/iXvvL8G6oGN8k9WbLZHNTHRxLbGIJ7WLWaWExc1apeoqAjG6qexpVtkc5VmrMo1
1HoIM/KI+fxZ13A3y7ZYuSyA5kOz/cee6cI0pjhqhvHK9HwO+z6744grIkdNYEl6wkpYAlJbkbC4
NCNk92WbcT6h4a0+AI2Xe6sTv/SC9bPBXLpFO4nbRJ4KLX0klpVjAHECrX5sh4nLbIM3vN+YAk9Z
EbtfZhWH5Nn1O7FKk7m5ru8QsXUHOXCvujMb5VSzxue5Km/D8NyuVv53GvLXXnCvN6aOiBincJWQ
oMGgaJNqTSRZDBEhaww79l3GkfqI7gBD6zBreLe7odixges2+mAtJwvr/m5qNRZdsyS6WzCX1NvJ
uqQqI8rTUszK7OnLYvwMpCOdMMWTE1TRlG6MjjSKVtpvsd8vr8wI1aEyenz+CxpVE78qA1xzOWqC
vocuvSO9wO5PWpNwhDRWdvdTL/DrBV1JsgI5r0frne7wxUj9Q244+rNPfEbYsAighLEvCuYcfRZP
TMY3jnuiJDytNObnwkv++u1TNjve02ixbBN+R9BwnIJKsXV2Eryou0ZDHWbiyDlkDHLyx8c1ejRn
3rT0bNlm9HbNgpuGLIFNQTbxxqFR22pMPZpqLhluorc3EBO/dDngBaR7g17pb96IgL57bI8hhTwN
tnqqKk8C7ImrUHPrT4747sKQ96G03idTa7LNJS4XVYIfnl1b9i9zSkO3jm4Z0Y49dAk2I8jVWXYI
DWoAggzIe48sslrPy5fRzXq2ZcazWdolu/SCVRO01tMA8npP2+B45vxKBXv14h8bpsShIkj2aenG
aset2fzfU2Iv5sVEw0i0N/2Dv6xXCWklqCqIEtOaNCxKSfmEK/IymViSAfsre9TDWrnjaUF0HeZu
zrrIc6eI5LXrOKAzkl6vbf210Y5NTPSbmobXGbK9M5NJqmckHzr+W9yukEARA239NOvPfWK/Fk19
drPCvTGuYA6O3TetS5AP5LhEPb++Ihb6iMJ9DiVclC1hwv05L8cfct9nXpOjPlv+sTFT6qs0vhhT
TTXTjTBty+SsFTOOpZR+L9G6DPub9jYOU3uh3auC1B8ES+TmlSio+MhGMRBsno4CZ7D54JXk8K0Z
ybIj71fG9LmnjlrLYp8xYpN2NGMlNrPaQ3TfusRqNYZAdVEBhCImgfFrflf67B5m4tjoQ1ICkQon
3lJWBqVS66mvf7fCn760LqLUx7MMcOLot7Q6w2hrhIz5AKErndhK5E1PK0PdeQYNMlvmwSI0qOCV
O2LWu/HGlbthGd5ib1ZXvafWa6aJRNdBdRExYAQKYNnb4uS9q4GErzHFBjIaiwxgjaNTtjWKdz1d
z1X2Gtd6fAanpJ1NG5MmSQjfy2xbN2WiF/QSSrORmoFRUo5NJ1MoV72tptuvVYNqGZlUUHf5N5pA
7m47GZCnAryzl5+WYWzazQyRajQ1scutgP7yQPtsMWaxdhBMdnlMkh+RKB0sLRCL/uRt7KL/7B/6
mk53GV+y/vrvvzp0c7j0OvvRJgbEuzpf1jB+MgcmIv4hh9SVreMB4rVWrVVyjH3jX5x/dYb3nNE6
Ly0GDpsNWlUU5R573z4btZ4BC1SeseamA2pfY27uvZzdECFnfPP4GhDbNeg5GoxiAD15UjSWg/RG
XVePRLMshxYFfsiZs+mH/JARpBUZ/S8u5ewgWEhcWwoQKayPuA4RHQpUlUt7dZrpy7QZSrXMcuJ4
4N9HHeAuDrL3uOrQIw/Q01Ht/sHvdshVrR/qsfd3Sninpq/mj7QisEL16pU/uHnqHVPu/CZbTtPy
m43+fJzKx5nWkTtvy+xFe1Ci8ITXm1FZh5zTgHsa/KoptAIRXou/TpO7seyzKNWDJq1I5sxipi6y
e9I7eAi6/gd9Hqb8zvks/BXCj8GVgepS7ZLu20Zd7CCTapTfvTfuDKjAOTmI/jaT6MpQ3ttirF8T
f35dGwgRbIq7E5ywY1PYzv+4O48dyZFs234RG1RGGqeutXvoiJwQGSkojdIov/4uVvfgogcPeMAb
vUkgUajKynSnOLbP3mufZiN6N7o6O8f8aqWqllRwl9Jn5ztnz9XsuKhbahuDaqJQcYvADGHd2F18
H9C6rkS5dg0bSHPXvhQ85LUb0HkWc6BlWUU5T3+pM2Y2hdYfqRGAbs3mlq3eT4CpakenS7BuW5J8
JhCJ1F8eM3ogy5zWN9nbjKOYGzfCS6+Ocsdr38V/0jjqj35bhwyO9feg+QNgdlXXKS4YQRbgpia4
cyJAW26qJbrrKSfdMdzlYDATolOpJLPuUPfu4oZmLxxd8bLTNIm6WVmkhXPRWrcUuP9eqNhd96FQ
+4jz9KWgPJENg/s0maN6OFm8x9jMUOj3v7WVgmpv6+IFtpHYs3EwDvMAVG/syYArlNExiPJtCv/p
MmAM7imKOkpFG2GjcEkluHiPpVltQfbE365sQoJa+i+cYbgKrRceQ8PCkxikFy/4TQ9rfgFjr69d
3f3nB+mFtRhHdRK97Z8bpNyDXdsXHq/OSRtAzLmxoFU1ApCWUX8kbLuhQpP5r4poselRRLO1CSX/
4v8IcYpUf5aJ5JEFjPgdf9FCOgUGL5T6CtOVP5XmOXMqrI0NhzA/bIBkoQ69ku4uepTMKsdJI6fA
QTJswNVLSpCtX4nltjsAzOanVibO9Tzj4QQ2hKR+e8gaLWBqxXsXRxcGgyLckBtiPVZX/pEnwjth
sC8WURMCf1FiMBkx7MLanTr6aY151k/2yKCZWmyf8T9W60kV30uNRtcNxb0Wfrq14b5u7Qr2Hdty
sgDVwYKdlCd5i7g0EdEfrZciKSnGLW3UaQuMYYD6xufvIxPRY8PZh8OgOXM+lsxuhmHqfV9IvTa9
xeqJ9mfNJbaiVJ9AuaZYQ/IEMyd2INI5tJL2Habdtto7xcQNrjYJ9ZoNG9u+HwlhLWFoJ8n2+Tdt
1OqQ2SkWh2jmcWoC4lkNLcvAIea5pC0HLs0U4wKvh+nYsxQ8mfFtJtq3G22nX/lwzXbCojVay4XW
UwGQckLz3z+iwrV2oY7JzPBYWKsMhIRZsIMy5EILkkSemvm3tsPxddTTMeArurUFOXhGu7TOvVNY
cR9k4Nc2Hka6HR/HtLYr2rN8cYnAuD25iRqhYkbbYqaw1KbActVHC+8nqL7nCpWTB5xY5x9GJIgF
NeT3TGriz2Znv5Q8UNYkcMJ1HyW/S5IqcJ1D4zgTLFwjMplXIBukGLvmzfHtj6FzLWKxEG8ECfOp
tuYzBH/sZW1a3DuuXmTxvr+hFaYQ11S981s9rN2uyh7//LN/foU2e0qKvrhMugWrkwbRTs3VwpGp
cziNZLpSUBg460DbAu1jNTg8WZ6gi1pT3Bi7sLHIWRIfq8rzBJNIODSt6kSf6aQ04H5GFtIrWwzO
O9OYd08zyya7o/MBbikBiSLK7yTis3vmhh+DRcdBqfv2AmrpURZTfyDmOeydeUTXiZhu5qR6ix3r
LeZyeaKa8K0pxEgONUKAPPRJX90W3PvX2Pq3KfuhkzC6BEvHOvP0c1bm2wgCPUa6aSCWKMTFTmPz
knfhWwPx7Jkhxn3mIdGvC9LuSJbL3kkBOKrNFre6an7JriDoppKf5QQjJC7J4xa2ZaOTNPFHa/4W
tYqvYUT4wxcVz2RFyNjq3/NAfoRUB458Es/UzlNzA3780vRGuWV4/HS7IQVbkKot+JepWUXe+GgS
EdzLKp1pXHGPiObu+Z8fY6f7tcsx99x6tFemLdHBecORGvRUxFlHjNQWS2fKqSWG6KACJsaBk+kd
coM+VsTEN3njvEjTF2++6KkYzkl0eQYGJ0H+DWDKro0GvPw+mgEAvF01bXPysxTO6k/WbBzosgx4
VLVOs8je1CCVaGGJJYeDIv7s0t44e3DbM+1tgdI+EZtO0TtvMkhfsTbjb+S1UDgAG3lBpnZ7sZ3M
PmO2++EpV2Ilza996mHw1HQJ45mrPBZW3imD7vWzzNxdPq7nGrbxNEeKXbf5G8zMt2iwSxshaohm
7XNpjyqdENIkuFa9SF5sXRWPI2bkmIKrO56ycDegbNN87kIgoPqXbIGzsWucH+UcVhu6ir44ayeP
VnOahLbzLbPBPYt+4jWnhxPA1G5ddLxj+7HjMuqOTufl72mA0Jy6wfCDftAvVGPqr2n68+m8PvSj
9xzn7vQ7RmabjU4fyPCG6zHRMVHb2sEPFODH7awfqLn+I02qG6FU8gil2935HoDK23mxEXLkANzQ
0WoFJfWT2Aa2o0XFC10S35yX0Dh5N94bFdYXbYOA0ppiNDJt4hp5+/A2dnPzpSShuQBZmScCW8g4
a77naJppIjVeGSeZEvBdPoeOS/imjdoNAmsDqCmu7kYLCNKfZHG1DUJUdUKxZIsNczNY7b6S0AlF
NB4x53JC6bHo6mL01tDsxYbXi7lxh1bidcTM6DXGibgRwGwa4qZong9Z780nUjnAT1K/OkyGTGj9
ce5SlTvNwPO7y/xvLQATYAMVG3+pKu6R47bebzx68SpLxFq1jvHAHfeiMhpAOUQRqxuSU42SgEGM
bFqXoZuFNYfmtNbziXb2n7YLCBW/Iald69yVRf5ipC9NqJNba7Uwz6xs2to6XXTZ5jXnFa1GICLJ
0hJY/xrmrCUtVberUnA3KtR5iOWHsdE/h6D+mOCXAP5mVv/rumAo26lEbYO9wfItYFWp3Oflic3u
k9QYXKhpzev/n5OwPALQmrT3FBiDeTYH7FNBzz4+KQP7QUm9D2v0qa2C01Sgjva8i76oY1gDRIsu
U+hUjHyYNys/Lc8lKYzV3MavfMDenXcDlYyqjQ8Dxe4bMCLkfepq1we1eh0Vn0mRUu+qIcHqIGPj
MauDHGbCUt5WdGDlrExbL3OG1DjNWLytQH8QSz3WCN7RUOh/D2pqgsgu2ofMofYlUow4P6unsqEA
bJJieE1ivpqGa3YbFDASWQkyDJReeJ4UqE9dsIxT6TjuYpzNO4TKmtg6bYB5MNhb+qhY5RRFsrf0
rc0MCLCz6ngjeskpUvGvbDjZtmjXPLNxVHtcU9o7jUT5qdFpPCyQZnWqkQnTmv/UAqLOZDh3G8sD
i+/AebGamDBBUkNPcYZb0QScbSISrpkXrOwGy8zcRvOlAcWnnnWKt6IqiIUWISblHjf82BCitIMW
giIHMJS+KOGxFnNO5pE4ZjQ2+5qMHl/GZ4Z323V8IBdJ7J9Qj9+yVtYvOMIYHKZQ71U3cECn8bC0
G3g93n0aHZxhqfEEADbeR8SSmbWK8cRccKD/ytpXS4EaUwXa9DSGZ9p4z3YAEaHGTrbWoUfn+BCk
pzo11R4PDoSJxjj2Ptm2glJ6UWTRUTjRW5zn8AKRzzcVbr2ZUfwibDEDu+HIlgg32lv1xEOD837l
1Ze8USejwsM4GWyjvaB7NmWynWYnoDLEz1CoCsUN1BztdB6PFL5gH6IjbKdpVlmlosouTQToqcge
4PHUU9DXC2Uu83ddPvwUfec94miSaDPcdE1tUBHAJfFqCWoF3BqbfJ3kEemEyF+RHyVFluhx5ejM
OuCRxtviRYsKT68KyRVGcTbAWyXahn1zDboiwtcyGDWIlLwxf1b9NVLqFqfvOsZ51TrmU0OWf2VS
AL6DIyqaLXkneZrUH1fhq5cymCDUDS0LqeHHyGyQYWo1M0a8sv3goFpRek7ZXC+7fdUDy2yJixWQ
1VTVTKuanQAYk8HfDFk3HT0RHBSlT0fT/0Ro4RU60OOLWZbllDqadvIrw9fSVg3VdjpOXxSfHCCO
9Jbh56ta/woF59Evjkan1/bRBPBR2ZaDqA3yb4rt8DTW4a1TaJ01uxfiEjbOBYYuk9foVcTwyvP2
V5digpfnlLUdRRk4GNnysdxUQ9ZcgDC7bO8De1fCPn4ETWVBWKjXJYfLQxh3zsbF8iJIsh8rzH44
58kSGC5Awj5s5Dbw63BXxA2PEZM8fGASO2h8nLGAZxLC/36hsWo2sNpmMoErQ0F4wKnwVWlqei0Q
fqkVGutIZNOj9f21pH3oYY+q2sRsfdG/k51dT8NrGEGjLKT9y5ngZBDNh7bp0X4hKFUCMUNXIIXc
GDxb8VkWQ3Gaa/cvJjVrB5QVX6E0zc+AYNTGy9v26Mjx3GsvfUbeevFzku1TXNK0Zwh9SKyc8vXQ
fMyt/ukZOtx7uhFHkj3Tzh8RGguVvZrtC3e7dfBrfKjgp9djHPafU2fhq4so12ycvtsOqUg+XHOP
4XQ+Dm3yCYP80FoGvLmq3hNNw2En43mTL+bBDB8eufG4ZrNu8X2tHRU9p+3EZMGW0dNbuopIQBk1
1op/WpjQWDX+fiBVZcbowsIHP+CggMODx0NwbprAWLUd+4vUsF5MGSbngEoX/tYIqnmNl8DMz+4E
gTN2AoI1Cdg4PTIDVtnNGdTbgAWq4cm6oufxsxVL4Uabbc3lfjFYNwgn/dGbhbFyqYW3vOZXbdty
ayYognUd77oU61AW4kL0AVhtUDPp1XP50wMaeSMCjM1vTg4ArphHglI/HBG+0xE94vBSzaMX9haY
+xb9x9jh+qh20qLaGwYvNsUGWHraQBB2X8qwIWEZGf5pXH64TVqhp5HQrnna3QJWdHuva/4axaTP
suHlnbX2ZfLCn3GdEuOeu5pGF/cjs8CGRXkI4aQtroPBTtKOQ2PbKXSlwJ4oEvGaHa+ll6nQpB5L
rvUhnk55wwmfHMRlbNW7USU5bVjRPspZbEFsQeuJjbfWDzWSHRkWqEdwFxPTXRPgrx6l73Ar5uEu
Gh1zq3Lb3zYy8++RKQTNKjjh0So4yFdaspv5TjupH7pFIND8hpmFeWNFIGpr9CE0tfwSNLXe16HE
bTrX6iQ79yt3qvgChOzFrxw872n/Qqj0F81hW3N0mivXVdLU+KZNnCRLdnpgm4IySGCsAeuGxdq9
zTUw8X9+NSbnf3o2/l+Xjfx/Vw3rklilnuP/VEkS/2x+trFufv7vPpL//Hf/6SMx/0WlCA1jzFOO
KUVASdvwp9XUX9v/8tAYhfCX9mjLX1qei/Kfaljb/hfIH1NI3/UcB+GDEpP/FJJY4l+eJSABeQ6V
TFQFuv83hSQEI/673snDmU5tvcN6wzMt1/+vQhK7I+aG62Hceous08wJzM/lx2Dzov3nR5umSMUe
Hcallx2zSj9FUqkL5o63ZIzKk4ELd5buKg9j+WylubVpbe5uFp5XW5RbmQ7yRglzsUlE63BYARFL
VdWDD4A6EUjnK+xkGVRTE15QGZu3XNTudkAAUmn2O6yy6YqwXC5Wpmgb21grgYT+IIv/1NazAFBK
qDSu6nMhjepcm0w2k5y/BTzycwXbZFV7qz52seBLDFKWbwZbnQuqL2PGBoLL7xiy2zvNFttItLfQ
4mSSmuNwcfrg3cpmefQGa3oIppgSZ/oGaEl58FP1MbsNI1XXFQzGMXhbPuSDr0bItC5FJh0CzWLX
7K8OYPaCvMIuxX144OUxkymu7qwCjHPfut1pXOAXS3jZbS2O+8ErFsz2wKm02Pv6EXUuHpSQVx1+
kdonnmlQkvcypGb73Bm/cwtOlYHoVTkEbIsaUKLorshowXWhn/z7B6+9ZOuFc09Tt5nDoEnsHXtE
WIaihOMddZc0TdC6oQysdc83qnIqJGLIel4iz6HXCkDJLr1+E7wLUgi85vJEkOjx+jWWTIYainfW
dZW/pcvRQy1qMdb8NxppOqbSrj3ZqinXvW9E18gBSztXZf2DnRGulSH/AJ37x3bYr1g6eRnd/h4H
KqAqQRZfYdo9owQVn13k7psch77D23g3sqPZ5wQ0diTEqyfGLHQW8uRnKXK55rpa5sfo0PlDiXd7
yk+Wqf+U7s+BPcmP1IWgJS0SRGU3gzNlPCogjCboA38C4kRDIZ5Mxyqvo92PG29wVrky99UAKieo
5x2i+5W2tQiHr4yO5RW3WrkVhvCvJXVEhx+SIOKWq7q6uHr68iQ8bJmKh2DRfuT/qkB45MU57LKP
EHRJkzj1veMSPC6WJsJHcqDKgb0RBp7q96AvogZdqyq8cUnZ2QAB/BQaw1AT5zK6/ViKG8jQ7jqy
P9iNE44NG6fuJRgi+9xybZbOVBzNuCVzSQi0niC5TqE/rnRdozQMaX3y25jjLlZ/b/TP5vKjmedN
BmOwXBc+ncALNEgURbD3vYjZllaNEwUnTzGIJMbswQGW1IZbWFqHrK7ETXvqF12g4YULiXsmtABn
V2Wx7xBT8HpNVHmoB8qNeo/zaoMFrV3Te5v98CWQIic1YAkxSk15yBl28vodv7g3qCwbOfr+cVCZ
t0E94kSDxHlxwBb2YbrqDIRHOfh/CSmfyViWW+hKHCC+la27M6GO6dyZjbMVujSXbLN/D+3xKLLq
EM358Onw6GAg7Xl0pJXeZU1OGBXYKkSj16yPCMl7iqwIwQNMwfKbshvYvbceFvgXYjgTYmf253qx
cRYxi8JceNZaxGl37aEGzcHAP88GKJMGedLAxW3Ay4LVC7J9Y+G5Qlih2XbGr62DZaPg0/eEtMXS
MJ9Q+yZnpU13XFZMxQA3gnrYnFwj+EBoSInJqcppQSINRbjLuyrei4EmS6MUxqUV+j6V21n3/Vor
X+wwLQ2roGH9UvfNBG7yjjXGvXpUDgwB11iRtcO6UvEfppqrZdiUEEgca3kpVnbVf0JG2BNNb0CM
ICXOofl7Eu2FglT+DSM+QUtd6UmubUrqzmzbDnPkPdgtAc/vkj3Vktjw62dzsop94akn2xsunoOn
tCrJZpt4bBJTHUejAQII7Vfg4fwHYIY1ktIFBETLxCU9StDZuThIaxzODgZ6a25fdYS4nojpzWsS
3A7tkkxIj2lDaM+miQUyATaSefxhJ1BTbPjKcK+HTVIlrzAg9o6TttBXEXWBV1SeTbOM6PGMDF9O
UnxbBksHjGVLfd3Kjhyx6vv574RHBriBgfFM+1j+Mcv0uCMC4BUraYp73ua/6gQEMYUwEW1bhx5D
Hjntd/xWHzOmdS8gddCEtBLwVPrRx+Ohz0niKWABazog8f/lv5ve5cMjSI351tphweOZSzMeG8L3
Ae+mDokbkdTm5l32vtatTuL0lMvs6uNhdrvlkom9vxapttNkF8nqBbxGEKhmnWRYGCKcsXKqWS7F
ps+fnKzS0IhPkhvd2k8oBjaALVi8GYgBDWwbcYKyXpv/9nRVoxDYHMbr75pVIq6IBOY7H2JcwbDl
/Hmro2oiHWnRJ8z0nZqPIehfR997LgP0oBHvQ9pceosOsomjZgg+bAibikBTyPmKZmlMXHgMvSe/
bhN8vg0Pich67cr5wRFo5wSkj0VK4FVGnPysp1lHuBGp0Ih0gcEyJ4Drq6OjbHGeup7S3j4/eY2k
D6sQKbKuMHZdmTh0oJtwACH1b6qhcp+jMCN35fbtIc3zRdxx3xV9aiUM8XcP8dVxo4DyJmlu6bI/
4o10d/ymP/zaGqhIqlm5+EDi2AQUcE3z7IpZDQa4dWHl1UE31iek9twp63vWj6BHEmqWLPQrVlTZ
wbOhrbPX2ZR+k+wTtucblc/hmZfYD05Y8R4QCZ5nFRB9MFhVbNLU3pdcbnDmiu4WyuHNmM1s77Iq
AojkANUgoQA+gPVR0DwLXGcL1RBf3eLozmo6KQmErwplzbuJq+6QZWyxc9wTwEP1jaqgdGeOJ9VZ
1XsnHuNUFdTo1P3eDCOLLbbBPQuw6VI56tvuJQvSxYRjje1rJz9L3E1oHpCEUyy3q77hHDkMOBWS
pY7CLX/OfgtEDlnnlDr+T7NT3jXI2F53yxwpjOFhKq9ZMy9+sqfBlaLbXQaZEzaF5uU5wgiJh0oz
lqQl5x80GrwCNAqYTsNZluLwKIGP5Qku20SWN0IhPoYzqU++HsEBuSsv9vRTklTmExeGhQ2v6o1P
iBnPpj/cSoMYpB5HyYaAAjZUaKZWhADPrH+AQGM3OuDSdpQht5mrg3McZYtuBVEzn+S2cLubaN3k
PnpDxqprSk8snYmCYhTzRLSpldPcJaZZ+u+Ss81Xfg44WwaFPGlyfFufnk6eM5oib4d8RC+1QROz
7+0no/pwxgjjs82mw2iqh0Tk4ZUqtn3L1rCwyUu1PlV3fD4jNqbEA6EXIjBFbA2ZmIT/29OVdY6w
ol9Ib/fHwC2BIKXJWZn2q9FJ+sDoAKYECAk4a9pt0trNnUzNAahi9zzW+JADr95MGTHfnkAI2AA6
TTGHrf1hql5CDvQLQcQmIP06CU3rRonFamKp6hqR+RY4y/lBhRccLTcxYOy348nkHuvWQ0rqsySa
fI7MimE/iE6lj8euLFKkQ2TCjTHX3ga6IgwHrMEndxlE0tqkKyF08AuFHbjTruu4P42a/Vvb7eZG
HmhyPs+qKGHWWB8QyrERVxiKo4xuh4T8/zXpyZrP/piuGj6XjS8jSLFm/TyZqj40hkcwNznR5ji8
Dpg3b8UozjMCzGANbEm9t39W4AF/qMrWzjm35a9BGfpEurk7go17DCaltB1L290cJfo1ACKyK6TI
1qIbP/wZLJFXluWjqCB75Pwvd1UQwC9J7IsGZe9w5fnGdO9MBh4yNgczJtc6E0uUmTU8CiGQumiQ
WPt1dA3wRT2P+uB1aXV3KhAJbfmn0U57R6RDuHvnuOTcyHefdJ351yliEndwtwOgwqxgN5h8wC8y
vFbR9BoVL00NEWeaGkyuSzMseSDjMtKRcPbDVG04SuxSwVU1Rg1Z0IbDXFpy1oo7nCtYud4cmwxb
kKOqDqTHV0nEHTT61E72Fx86+L03FgAUCGoiMcMU7+PYGY7qL+teY0UnL39xv8eqmNpr9gd/Dffv
TN3BBXPudG9l+TuKP00ze9dklI8iniYo66O/jWzng638q21oe5/y+TyHQHmRo4j+M5qLeZ90eJhS
I3vRxvCRKerRwhCu6ZDCu059fagsBTtXj/sgx0CBp1Vl1tNo1X9Sj4C0q4hGJP5X5fD05frB5JbZ
B/SifBtY9SUO8LMumnBiF/1tAqGErZr6ADZr6tDRi0G/pnBvjpYT2Tw4LXY90GYwy/ci/Jo/CH+k
D0tP3qYX5C+rFOKHzF2aGcxrgHv9UfRRsTL4Hjfc5vxxFfVdKnsTelBXnP4nuhrzAxJDtjNgGe/N
mPhwJYN3YMvOUx2m+4mD5rbvAA5Zcc2wNQq5ji3vJ7Cl+O5pxkt3DC/kQAkHsBR/iqDwrYW7xRnl
XOy2tggDlMSQ8+xCrgMawnJNdjo4NpS2HDziyYme82PJhuKE6WQTjb682im7CKNQbGQNgwxiwTFX
Dj302I7gvJtcdUQeJHPyM74rdMCY9Hzp1w/Sd3tjrOj6wWuoFlFReVBKsqS8eTOxS17h+d4JaFgZ
1Av7COc5p69ixaOGvqihDu6jwATvSEDZlV8ZN/rKzuy3gVmGZX2OG1Yw1JEv+wg/P5u9z+SQtNAP
LONWu1V9ygMTsy3gnVVu8iSJXrks1Y0Dc88TlnMhbmd2hvicrIlNng2/H2tNxzPfxsgcOLQ/9411
Lay4e1Rq2PJOjo6DkOeyioOLjL1P4Rfzibcd9tHPLqtOvu0MPwPZyzUmmBxpsvzgbztehAmhxqz0
o4gg+4sYolgS9gRbKo4srTs3+wLWz2VUNMRGqc5IoRT7tKODLUzc4mWIeNQ7bLAxY8Xp1ZK1ONSW
/kNQhFMqhw1PEFUJB7wAflIfCyPe95TlnnqvuMRVa606H0dPoI2jx5+3lNXFEonaOE18cWhF2ysY
gytrWkqZQSDHkXPsE3WpaI0N5QtG14vJB7fqLP9PVjkdaszwNHOynHOYtO2ARaeE4UYHpge36jDR
rbqBG/DIIbKtDc96y9nN7nPXu3mOTlYEYV+yofIf3SEbJIfzWopVOVHaGJspx3U57/xIXmnJNneG
VVqAsk913rdbDroV8sYXOyOWJM58KPqXaDHUMr/nBKcuQyG/JjtPVlUc/V78UzojuwswC7N47x1H
hmy449FZW+3GUGZwxI6wj+3RXw1Y0tcJ4A5hT38siaaPnYxEa4YaITPUIS/DzW076Z4mSRyJQ3JL
mC43s7s0s1JL46fmDz+yJMbf8Z0Ssb3psajvqq3ROUsHUfMSqoJkeON+y7F66vWmn6vP2nK6DRa/
977v30iBoO/Zm6wh9Is4cMa+9heAzC5Kgdy3s7Y3TJFXy4zVPiycv0as72Kkv1SSIu27KDggfvwl
xTZTRWQaK0VAd+tHNTtM4e7xjuFaNNrrmPXyECrzu9Qj9H7DB9hohZLOHgooyQqwH5naabM8E9Zu
L6hrnXjYdJ2vrxhbj+iE+VeRw2Q0sDbRm1N3MNLm9kThFF0bnCHz7O7o8kbLVHtNhXnHJOGuJUT7
rQchb2Nhh7vBLGiw5QAnkICIVxP+wXPW5Yj9LGzPvjmKndtzUBuIvXDerP94pqtWRhYOdxgd7tb4
cugpW3G1X6xhfKnbUp7J29CLK3GWOgMjUKVz7uGwJs6JiQN/Qq/ZC9juThnUkYIriSKju2cc3DtC
Cehsel5rK9JblU0u2+lAb9y25EnYJc+ooz+dLC8uOjRJU6UtzhIwRpz7m3TTcGvUZhi8Jl3yYMY9
+yrtv0ZJP4IcDG/Ny6nCpVZiXlpIVsqv9Csvkg2/Qb2VFoGBDo3o5I6QADri613Cxw/d4TXRzq5q
Xf8z0vGz3RjPsc1RXKdhc2igf24sWLJ9aH2lC4aOs8DK9ngCzpIPhr0RbvPsUM8NiMpq2DlJaK6L
apz3gKhZDRk8ZifOPwyAxLoaXU9cQgof6gnw+1drYYLsTRKKQczmzyhpUjFCdD27Ehtb6O8oqR74
9f2rl3ITzb/lyIvW5SG3zrENWW38qxf+QIOa85Wx6qgiSUOoHQWrPM7PBXVJWzm61YHvo9rgJwkY
plgwF5MbvcA6/1RkDLG9p5+4k59ryKKU1aXULjl3Mbjq1rR6XhWdgbZUE2LzW7UueW8/D1QORlij
uZJ2vRlVu6Yon1QlvHsi23EDTao0Bxd/l/dEKNOANi8whsgWDKInz33DfC/j+sjwTCWapsq1j/NX
nOfgn80uPRjtt+2xQ1+aLBvVJ694uGkJymqsVol79yfffMDyODRKx/RL8l3r4ZhzKiJNREsgoPZd
5kG544k772vpneWdwJ73wTqQd8KIA3MOs5wdeRt/GULsfMe5WCzVufUK4neoNkjOAaU93sqdk5Wh
5/QexyRFsGPQSbHNnBZLfGnLTTMtoUnHI3zC8ZUFMUV5XoTyWb7GCablIksoCS6GSw/kb0XYqzhw
efNQZQpcxbkh1rqxxt3QBfjfJfkDS3h/HWS3ndb5jzGq5DGbipsM8c+WpQwO5XzD0n1rombaZiU4
5joKq1NlkC3BxxldQTJMYFcA8Jb6pioiBCLwP3XTOyvPzT6Y3jHl5wY8A/L9ifnLT6Nuq110QYfP
NWIOht1f0NCIc4JLpowk395AJKAAzpR1uB1JWJhIlWtCUCe/mi89RptdXwfTzlDqNCpmOPD65xwk
8z6CN8HgvAtFBVethsE2JeQHBgmlpu9faA4Uu3oh4gSbEskOgrsgdNnhcKkSvJ0FLpRBe0fIt3S2
mf6WHBkPwQyXNKfi1WxFiNlxTUkpqgxKxTvvBDLBFkBuDKvPE+ivyJtRpgOqlXMxrNMOWl6Oj5aQ
DbgH+Bah0t9NmDpnQ3RvHMDLTciqcuzAzaU7F8zKltDro4EUCHZm3bKU37KT6Pb0pgKE4RopIvM0
GURLlZbD7sqDbdxyt0neezwIgoW7nFl/PZ+kiRHN1DeELQ0KNoYSLzHA+U39B+cjY4f3DQrJhB8o
DX4r/C5n5kIvQymq3ByxcG69da9UvbFI4eDne+DeFtDzyZj0FTG3bibhrz2eugHCVSp3OElmzIVk
1jrvh+uV2c73qFQVh2mu3huXkouIdZTqqjPVXTRH9oi/0cE3icTjEjZX3UxtqkcX7kqNGlkBfIWi
XpAiBVA0S42N+bMJSO7HwFo9PZWYU/LXbAitjUfXZTLL9pAwV1EHtYI8T9V5QS2lxZSfV+9ztzQ9
ZyDQXXoo6Ard08QpnuPYZBE/8+UkDz/Y5XOR0AUfPfwOEK/NKMMlUf6tk7nYuhk6Be+TT5NCRY9+
8F3d0KWoo7sDyGw1thY0ixL2i5FkRJnSHzHO7EPvsHIrLa6ERiIVZg1fp9Fbl9qvEnA0uT6ZOr/C
OneQX+ueo0PCfJeyN/KeB9VPING+x4leVR4+vmTjZSYQ/jL6liecjMCyPPvcxO2NU9ymRPJqH5HR
+ttkIiKD8/paWyXSvdswc6XlgfADwBNhrfxQHBtgtGCqONYGzQAezGH1H9jXsMGtSkRp48SZs18Y
s5YprY0fGe9FROmKNearOTfrw/+QdB7LdSNZEP0iRBSAKpjt85bv0Yhug6DIFrz3+Po5xZmFYjo6
ulsCgaprMk+2lnoLquyjK6t/ZmyEO0Oi8VfsEjHuwwkZCalYvtk+NUwvsO7aIZay0gju/rPddv/0
POAlJtdyBFd5iUPmoQvYdMfqzskQPle2j2LAbBtq25RLwgIyJwZm3GCwsGm6/t5WS0FjBdrGcOpi
Y+fZR22DFgQ7l+1hmb3jbchPeIieWirCw8hoPglz/8gX/zTG3XD1UJeYdRDeFy/LdoXStB1ge2uz
ndILbdipXvDUlwP22dLv5bqWSfuaSpZYJbklYf46Vm1w4tJvNsSqpduoWDwUGWzZOhL7+LeTrhXQ
R3ZmROwhRsxt5ah52+TRljKV8PSYzLrBLJ6gjchz7Q5XI0aq2AAWBBqEK8gxWjghZEIdgDLfGXoQ
KiRAfGOSPTOcX/7UneA0ywgLNKZwZ3dB82YgZVuHgYEuuUrcTeQG8I4ZKHsyxbzqtMuZ1wg2kt4D
ttA4+8keb9hdqmsS4wee5OhvrJR4WBSf/5WFHaO/ddprm3VfnU/vmwNw/vWg5V7k3uymeVz8aeCq
dF1Kl8681qSuHILO+DOLa6F9Kxm+wAhbFL6a+mXC9wFW/91pQNtT/DB/TznrCTs980WIY2so1rjL
tPOm0Nmk5LIBZ0vw8WUDskgMYqx92BLqRUZDwnztw3qYQU+GcHa3Rs1Pzz9mMsk+scNcQyYdKa3Z
LvHZ2ubo8SR1DbgS6FEiHvcCvzZrUwzZfXscevRgv7+gHn1bHHM4qFjFt4ps0zUXCDHOVpLcbFrj
hjWsTKBrpimUK6qsE1I0LbRNqkfpR1scv+QVp8Tm5COZ7crjEXQGKy5CATwGdAazMvgQuOBJIUix
dgN7q3djioU8kYl3NLPQPBBLGa/Z8uzHxbJvWT8+DbAU14zC80Oc2vC/GevxNVIydLi/aYiMR28p
uyM66xMMIxyz5JbvycIKwed15qWswzfUBPF/80RbzVQXwpIFP51Z/b3ySD1Z+unEUY0xVJjTPl8W
5tgVYXpVnV9d04yvVQJxzwfhyRkACYdUQoQ1XnKJyUOzFInxnfOf1YHmB7FMEG9ogQqOnOUq0+qp
Wnpm7Ujwl0KQSp/FD1NhMYF2jEtX0BtIuIBZt0cVOq4a3RBZFdhzVffu1W+oDcykfVxKKz51VvWX
U9Q+e5aFOjLxyRtg/I3TnPF5Yf+ROVDChrkD4M997hJd2BqZWA+4r4FlGd4FqXv/7ACN6YPm5nsO
7TXZWWubt+76+0sgS2PFHmU9GGiKMpzct4KoY9sR/XW0UgPz67AJK2YLYZ3wCPqJzCKXdr10p/c6
dYxDZBNYXMqWKxNJnZ2VV3BS0IQYUAVBS1NjszDTo91OxuAgQ/ngV7ngVeMzqUQpN7IICQc1mNry
Ye9z9sOHniEJ70r/4jTqJGkt6GsBC4BlB9Hc/BWtvVNz0z3nXUW+sSQStEERHceZxcfGdL+MTbGj
JbHeEUesi8XaI7oY3rANx9usMZmS46c4Jyihtng/LUTYHo6HKPMO8KCttc2beZamq6G78msm5Nkg
7Nlm60N8O/LLwNatNkMMg1fRAsfnEhUdWsUD8A0X2gnf3OC6H+DHHrEfZAAylvcOZCls9q0v3RsE
LE12YPZScvgMOqWabufcDO0XDa9LiDUwlLcwBiIHFMWUpFxThiMtbmiVdQJ2qrIbfvrXuSUbO0zB
GuQ6L3swevajZnoJk/KO9YyrdeICKZyRtDT2evhfnJT87ZggbsrTo0s9FpLPnRLU7erE7tF3WOog
mwR5AgBI53rXSBw2S+L362j+h7AOCjUJOOuQNaWlc8FznRBOvAhPI/5hFJx08kUO1atv0is4RIu7
RIxLnTVuEDpe6vRxE/VjEZFH3plfVddNJ5tecjV04tXXm9upNbZeq34mQs19ZNRuJd7rafxrEXoe
6PRzT+egT3895w/h6+1uICQdLj2igplyg/R0zm1jRR4sSdREq9fwKNmJAfkgc13o9HW84FxwBLLH
BLNnOqF9JKrdRUui57GHTnUEe5JsP/ICeDOCEsA+C4+Ue36TdVw2xMCPOXnwLsHwC8Y0snXFlbH1
xCTQZYsIc+aaJuJPaWE7Zggz1JjDqYUNwAF3oBrjofRtLMooHNsO2b1r9m+sOWLwkeJpQZMqUiSX
tFMnU1VvXj4u+z4E/TQlHVNxvGbmjPcqMuFxWe09tqt5ZbTZK9qPiKHcC/uuZ7xTjxK65C5se+AA
87MVesDXO4afSWx+mq37MoroLH2QsSQROybDJm7OZZEC2fOuN9BmhPlHACVs1ZU1roWO7m4ZQ2bk
Vljr02UnDKq8pV7i9TJ0HTAUXTlWLD+Fnz/kPaeWmOnmC0qvWQYvrf0NtrsjGAedaMQpHrbmnwQu
ikcs8Q7j+d+gcLAv2opIh8Z6werR8/xDc2WaFa4eyfadnhPuQY66q0ngGxApAoiKrIGUmDcMU8C+
4eA3CycedGBc2pOzm2veIdzmL4VvvSaWRSp6WIUsh7GfjTb2tVhiN8yZUoe8SSvfKldby7ZPfGz+
Lgln9siaBLT48isW50h3zXWTXiHiModmAV11DtlK7YbhzbsIdTZqyGA/MiEmKnwm6RQyOBv7T1fe
APk1qyjRjAyWS2ujQEuJWDve+oRS0ldW7y5qsfUYxSvULv8qrJlMXpDBgnpdhUN690QI9BA5y5A5
30aOKzFCKmWn4tb3zjVVu3T4qlrksvXypkTqXH4Rfd9pAp1ZOZBKGpX+lfAs15WO+jCa2wLj6uA5
+cPi0w04b0GNTAwE1Mz4FAv5zPoHh/xuCmAzkB6695fwdc4VNE5WNXU4GRuBb1o5kdrIiiFn75fI
L9DvVtAfgJy/kBazdp+A7vCmeKd+hmnhFVSAITfH5BwRY1zKMH+eTbIIAg2EW7CwVp4itbWEph4T
8u5nTbhDh75GVVWDAKn2wCe7HTIFQUxltc9IpiaGKeFzb+XObMr/EnKU3WV86MqR9TI5u2s16vzs
AQyNGkcUURb3ZWR1WCKQ9tD8jOyGHURV3hIfZf2YBZIVmw5+YxW4JjwJVBcSoa210I0MTSbOSWSb
m5ikaxAjpBrFJaI+BAPyLULmN+JvQ4T5jJ7rulSZPIRAVNZRovy9Xz9JyxxfawcrUEhbe23ZkU5m
qMstwmyywDxM1EpCdbzAod+zJtW/gATFYq7/nz1sQJjTaXcFGXzdQKrW7D7EFdUXcb+aJjW2V88e
n1By2wfL7nEbZfbzxBzmLnFf31XLCop9U+0n0TVlvbUHTjwxnLCtS8X0dFgs82kaESU1S04iSknZ
NTgqRigdHv3Y+Wu5aBBQX1wFj3A9jhhjUc4suGEq03qkT9sSm6wTnuRDUi+PsTte3IaMlBi3PvoW
WJwuGPuF2C484A7kYK089Ll+sMaucTVe3DC8LXRHawQPzSULWFLnuXu3A3sm8S1QF7UnLPWEbmrr
wj3ZuyNj96FZ+vUA3+CAYJlMVXVWOJB3rfuVUvydwHkcyqJAFriW7khyGoHKXlC/mQSb5WEfHrOl
/87N4uoKMnJMYrVmpM0H1kLpgwJOzVHE2w5iicOvz837ErHYZWt+aFrZHH3qTLfIY3YVuaXHpFze
ZXFmZCJOWVkPD0Hq5bxZeE0AXo17r03qnbfYJ3+w/Qdb9Po9Jda2QSgSLRNKgWTcpFYo1lFme2fD
F/1qsj13M2G+gPE321tpFkwCEUHOIWFb7WRAz5/VuFWetRwmWJWFSNKjx11XKtdcOU4dX3yfyRhf
dHAwRP/lWM2hRS14M3uLJcFiXiEeiN2gzD1YRAbVmtmQjkiWCtM9No5PbZxoeX3bHwrHsk68Zc0J
vJhop+qSwv6v1XCHJtTcsrQS65bJAUEuWOtossgJgka7juzYvviL++S0bfVQ6WDzxXUvM3/qPzFz
INsWcIiE668XoqcZ5SGAwRvlx28hWWcPDt8wJ72TbcmFZZmHKKiSXnQfbPOjKFpzx7LvOUq6+aGS
IbvqgL6hs3N/5RQ4wngOZ3PuTlFt5ptS+t5DakHnHTByq6qo+Uw9skKm6hleGA4f393lsuWLshOS
77J4N8RBAQ7aijmNDfPolSORsl6EOih4lEgbMG+7bx7x2yfLKa5lUrUvpRB8su7yJueeUwOF47Y3
F0Zo2lwY5SzPwqjqdz3V5bnGpuotjn+YbP9bKGH/yf3l5hOB9zduWRYmYuO5tgZYJ/IKdoX1TzaS
2jNW4bYMi4+Zm8wG2O4zFV9U/s7C+T2103InqnwXFTNIsR4AG/6xSNc//9yGOaUXhfeOdDkEff0d
Jg4zJJcAEOQXwQYEAUAjMkWh37gb/IopdqKeHsvFUSXBc7cLq/l0yl8pbhQpZF0PWwciZDca4gmH
ZM7wye1xSOFKHdalx4AwnqOLTOZ5DxdqyHxnVREzmhYdiW/dNB8kLVbWki3UxiivbLmrDIJO8A+N
BfXhGNub2tgPjnkP57q/NBKyXzEN19IfXkeZyPVobYYy5XAjI5vDR6yGNvuKHFucrWM0w/FkA4Ug
ARUpIavYxYCxkN7aJOq7aSfv4EcYHcWrbWabKF3koZKJQ1RbfkZ0VnxsWxkmb3y6RH98ETKafnrE
NpHLDk/VGq1nlbhyazVQOPNZWGvCm4K7IdjbNRanaWGa8tDx+faBHVGB9OORCuIlVFaKbKXPLk2Q
q0uyFCUtVtbukyQkCmWay6c0ezfjV4ORZ8Ru5ckSzd+wgdCMuc7h1ZercfGG7eRIZ0sBkexlITUy
BMtTkYPDaucILIK+teBPUsN01IkJk0KaqKK69L1L3162RLsgMlvbiIDS0bcewBtv7aifT0247CE4
jeuunM0jkiTiSMKTKoEAECJxFyk0SjZiRtrfwqWPnqBK4Q6qcjIQfQ/FX8xeAmeI3ng9/P4/T7tF
6FETknDas6mdJCzGPhFbxnt7ZuzRNVcXaXGO+QSw//DsYUfxsKXk2p/CeOoDrF1+arR3JdAulgA7
SzgGD8COt1gCcDtV7nBDQUmrOxX9vbP+RtoVE2h/TKydMpH2zLTaPVNoHw3MBnT3OcE42mPDyqi6
M6GhS9AOnEZ7cTrtyskj4w87drWBpNAcRqw7S4kpm5hdrc+bLhEPUUk0kIFJvaOdPxkWoFZ7gQJM
QYN2B9naJxQSrsjiKi6u0nLfsdZD8FPUDmNR7zuSEUml9b5irb7BpfMWlriRXGxJgfYnNdqpZGvP
kizAgGep5Z4S/cvop9BcQut5wef6UGrLUwRzox0k8nS8e+ZoEZqDSWrELIXTt7mb2j8lMVIl2lHl
a29VoV1WHTI5VaZ/bMYwq1w7sbxfT5Z2Z8FtoQfQji0T61bcj97WwsylMHWN2t1FjsCno/1eLan0
JLBvyUsnsDj23lvtDZso/l3+1SmmsR7zWKNdZLH2kyntLLOi9JznGiykXWcB9jNWmzH7g+W50860
oVHMK3ALCkxrUwR2MEa0RSRQzywRUMvCoYfPLchssSoEv/t4mNmXtlveKyPltCXY5Amoe/RlTizS
2ARn2Oggm4Aq0c66QXvsBAohYQDR5Fw/TNjwULzjxyMnSPvzWu3US7VnjzEP8WTax8eRs/ZqnH2j
9viZ7TONVvriYf7rf12A2g+IbBclDBZBQ3sFE5wUvYF7cNE+QqZmw51e/ZmFTPIkMRtyALTHQPsP
0TaJd/x/wPy1O3EYzX+lKIpTGljvBqIDbwXBIt6ECXRLPxbpjmBNfNVTvS0xPxraBWlrPyT1a7yL
sUja2iuJroJzH/tkpH2UrM5R5WtvZY3JstZuy5BgbaH9l0q48dZuUszJmsEyMk4v2RHJeCi3FgbO
MsLJGfCoQCciO0wMj4hG7fiEt0FCn4ULVGEHNSJ8oZV2iHLT8tniGcXVad7Zb1sAK3CUFtpbGmuX
aZjgN01/raf+edBO1Mr9zuxgAksx11fGCrwzlHorZ9ECIaysM5bWRXtbGShw+Gu/q4kTQWoH7Ki9
sBxk97LCHZshRtXKqALbLNyF5LnTTtpMo+Kj8HuU6TEfonzXVYQoAuPdet17n3fZ0Wk96lbC660R
tvFcg4HALEKi+bywEARp4BsT8R0dR0JqEB9uV0eIpG+tbyAb0Lm0xqe1dJ9DVbcUa7hYwtDN17H9
Iw0CPnz28cQ6FCU7bq1iSa35sdfe4zh5jbAi18PV1M5k9nxQzLRbuUoLlkdN1DxWJp1J5jgQQR0y
N/JmPKY2e6HuizBQ0ORGAM1NO+c1h0X1iBmnEHntSN0Av3JgGEs2CQFHniW6F7WAeQhDOZx5Lzvw
dNBolbTqHZS/Ufq9dsx/KpvFiJ26zUngtNCEINU6NB4+OYwEMpF0OpAC6IAdIEgHduJmZOgOnGay
N1k8DUwW6NbgwrOodNBJoyXHv5h9wuLi8x2XlT2M0SZz7nCljvlsICho1gGxUw21tVWcWGy+Kjm9
1NOAprpnyEpsSAFNCEbTA2vblybIEFgMP2nmn9I8QZ8bAsWySL9ihMh/LjA+47g7TyRipg12hDxH
PtbijVsTvvIy9iz42Nvn22WpoSZXnnNrCmgKLK22AkEnIzKk6Xobd6gDNDAB0Uk0Nzm2NYK92Y7a
w/E8Z/G74ar9WFxFUDlIssUJ56eF5QWQ9mR3yDIZHoPawZ7OH9nyt24/Rn+wwNRzfJ/cYYdX+JRk
5WOWDEjlDZuN3uw+g3w8lYinIYCNG2NQ9qX1CECSYpk3dM/qocIjFkuveqply1yOYMq/VouHLpFy
Dx/A3i8pgRnYmuRaafGsJZv+5qO3yqnip76YjukA3iSrowcX4Y7OGF12nm2GDxPm+hLGEAGZLn8s
0nBAXy9Hz5ppLSbxYo+ck1x7YGhkHK9MAtjHvje2jRMdkH62CFozcXJsecxx3D84JN/BjQs+vM5c
RfkGzqJCBGOUL/ZQbRbCBdYuEBk4MGZ7XfqmvRY+C5d0Nv8iMaLUbEGJ9/bw4cdRv6rdMD55ZvUZ
tH676XpqvQy5K2aUMYMzUsNwHF4ELeS5ZMhxLJ38K8QFz9xi/ED/xES9KhviArm6WGJ+xCi3LsB2
IcfIgZ1cGD7+/sLPn99Wqn58/rduJbh6zqMjzAXnofAvOU687ZSFxiYhJPhAENm6R+m1pWmY35Kl
/OAa2E15Ob0qpU4+Vdl5zCJaQSFJiiifKwstSDSZt4AVYoqw9QFNvLXCwGhffYsBubeMrI/JSd8Z
Y3LqszC/GYwgdtzNh7kb9JgB/NMSxTptIQTSW6uSKgKrtdq6CvKplBUzpRBrBhJIk+ErOsnFa6b9
1IYvfi/khqWs8WypnsiqaWj2I+6Gu0uoCZPbAOW/ssqDalMsbXpVby31dkw5IJD0fZitGlFy6ODQ
UszaqO1eJmKrL1PH5C5dCHwxxq6/OAtOoGGKSfkbTxGmPWJsu1uW2T/DbDnXTABZZbpXbAzQ5oIl
FwN8AxR0n37kddM+tvTdjr3kdytjO5MPHd55P73Nb3bkHPGcuV+mYkslYZk7FG5HAl/ip7y4ZkpM
t5SMsWBOgmOWkrVBxk14KVqXMazSbg4jczlDmA74gRbcjVG/HWY1ncmTQIyCWJMV8/LQLcZyIrLy
2euLau+Yfr4TTkY0aFz5q0G2sKtJQUWaaO+bON6VmFSPIZHI+gQ2Y/PFCkoXJCprL6+Iup2VRf+x
57l7RegcM9Mlm6Ra/nJy8spDP+RRMVIdbC5jDNyWBa2DsS1a/QTAXXEYsKS9wOdw+Wm0G6WVZW3F
Y/RdB4WO24iLJ3xCCRx1NHGe3X9/QVv34ZDexZEXTZsGWwmTZP4yVqNzqI2UOXqynAoVR+TNtzfk
QfOZnp0Rlf9tLRVSCLul+iLp+5xI1EIlKMQ5k49TxZJ5ATOVDd533ncGIJbmtXPxlNKg3aSdu/j6
hwlVksz2ceJ/kvdmfWX934j8Vphk2VuH+w01P5+PBeDofUJeE0l7/jQzrIsCfEyqIpbBkrq2HbJL
2gJ0UT6WTBbdqmDobkaULJGTTw+ZV8uTdiUtTZI9GKFdbuOc9ldkHcG0gDJTyY/amKh8k0buK4+K
yFXxdaZqXhtNA9jBZFbX31UPsx9zy7FwP3KrxRkY9gQ4i5+oX9CKFjE9QXHsZAbNm5IR/5nLgpko
8/hWtKgugOIGJIGSHpFG3d6IGWlJl4C82en2ONHy9ZT+I1hnbxVzuqFmarcVZ2CJmt2mqSaJK9my
d/+StQvNPBf/SKTbG+NLNIb3YETD5GgPzYDZ36iS8N430riNRhhdJxUgJCQ3XfEbXpFnyQRUAXFK
xEEZzmcjpIElkaw/gYC296rP3ykNQq/hGqX1HZXBfCDRwaGgNG9+FMZwF98M0SJT9cGClqr7CKgp
m4jzm6+gIJajxuIW4UhIE8gJZG05gfHh5YyUF6zm2J89bmvTkuj8Wtww4OshDzcJFAXnxQ6a8MRK
jtI3U8y87cB7kCClGGHB4+rYbslkVxIqvkHEyUyUbX0TNGKT4xPblaEsrmEJezG28mOdY/Dumma6
xyNnD+oyorbQnxBhRKIAEaFHcyJSmdEe5MagyI5VzUqqTkW4zaqRzFLwmo6B6hUV2r2qwCDXpIdU
+VCvjTp4XwIkZ3WowOWTKM/D2Q4Gi3qrwP8StK9uGv+AuUa1GUmC62h1ERLo7gP6WdQ6F6AzGnAK
Jr537ScGA+02geEHOePfYI/vfXM0TO+ZkDuucnt+huELpigKvhXaXXdiwsIks9qIlL9PjsN1bJdj
lg1nE811eOsMCdpQpy+M3ow0hCjNG6r9ce+Tuq7VGdwEIWVYb4uPsOKPWBHrwCgFKGdApFpJmiHP
xeS3jCY0dkYgMfBa17OfPJsjCw9SmLrBJws9mRAmaQdgPjKpbNr2cUx2Qz89xX7zN+ud//JkfAtd
dAhRjJ6+A+xaIkTTNBIvv8XCYTrgWea6IDG0BxBH5Annkbn8EG+wJxTwX5AQ6YP44U2gcyOB9EG0
w8UXrsnpEz8NwZJu67EY9yOkM/BzfDAlYVgBxHriyTGjUFhKbFN7/QzEwB+rdEfUxI5L1GAArz1p
9B8j+mdWGpjHTqQZh/EcFiAoiaBl8xA8jASkb7uOOmksE2/lzoaLy2QlQv5xF+U9mH6yiYBelUdj
rreJVW/duDegsbCsKyf3Z0wV/UW1nIwlcxFkp84Whu25kMkfX44FE2y2Qp6RFacOgC1gfEbZhKxu
bJemtHHD/Jhao2KHXr83oKQEROsuqcPtFCQQoUlsLZlFAFqkp0uiasMZCQfO2rkk1FTTM7Ghk49d
yp6jgQYgRZiYGpRflE+5R2xIWvXX1vwnCzy2qI3ExswbOJVJeMvT8MfRoXNZpL670kW/4mEDdXJ+
RoNkEO+juhuj+VmEieJ1s5+7pkCgzC1oleQe0Eno2CyHo9Ivb6X3kjfZq4p5yyz9FfRO/DOaAaoz
CyExo5KJ74cpI9OojiED5yM4nx85xy/IaLG/TNht+6lAFlvf2Mj9Bd4kNm3d50TUsvnpSZhq5TOK
4PwY/NL1i+wTr9WT1/jikLYfTD+giSNqBmeXTujjIL/EwiQLNhGA+YubBfs0AtlysMmDXttYKZDj
mm8AMnBALzRUYdHeDYa6G+y5mHs9M1lZIRMYTxm3SIwPlSaGu1RH29lgvGyx1PbpRNb8bOEJcaFO
Qhw66Ptz+D7j9137gZ7fDBPbq8glOmsh6zjv9n0U8rNMUfOxWrkwGNxWvgITFcMzVFwca8ZbLKhW
KpB/vCT5nuqCj6yoT95Izcs3eQuM7tsIihdX//hKckbbqW9vnfOPGF6iPicv33roHCO11OvCxDKU
gymso4ahVcBJJslNqWx1XQLWlcKFltUWYuPWj+HUVi9ydK4LvMjFz8nj9AGHBR+G5YhLXTN8Rh3g
78cmuhq5455NpmO5TVxXmZ+GvEwo2rAF5mlyy6rwhBJQbYRZQgU1s2pLY4Q5pdoFNq+HElIcUMqt
hcv+FjdEu6WT3hpJhHifoshFtWX6xjrv1b5uynCr3A5BIuSJIsXti+0etEYglw3ZFj9M0lji/OvJ
+sgRLO263kMSUjlPBe6CtctAZCU7d9eiRNlKwdtRNfl2Dtl78Z0UO+w7q5qyd8XOAQlMY5JH5rSr
aayQplvxO/LdCP4cfb4IncdxdolpJWUwnSo9nADlO8EOyuMExWrFnKBo2I3FfOG9jygsaLtzWLEt
mVuPuGOHJ01tTfvTgZq3o0M0wyrCMrKxF+5ZRobr3hLqgDmxWQuLGK2A6GfklYg5ik5TpglJmzyi
OuzOeO1rznrWjuleecrccRHWJ6d4itkT7eImQd8lkj/svrVIBGsPmKRpVZt+C6MulogcnafBLw7I
exjju9x8NtlVOO+woUc/kTIko7LwPk7RN49CbFIOQCjPyFvDBIBqHTBBrRyUH/qjafL+r1mOe7I2
/QIhsZnMWrYfLIzzosc65IpcavCQNryUyfLS/TL2E6JuGyoEU9fObLaRf5Z95DzCleOWIt02LXsk
544xU3ORou11iWL3vY3y+rNzevtOubqbS6WohBW6K3zFlVOh6saavvfKdu/6BmkFWD6Qol6ywfow
GI3vB4rSVepPGw+31zyUR/Qkz6PDjvg3oG0m0ArgREW5Y3unVMhXcjw+jarZ4dUZeHXqLy8K/oCR
sY+2aX/1yr9PxECtPf25/77O+r2GPBytpWqGXe/o+jacV+y2W3DI+4RWSje3jDsxqhEjp94oQT+i
OP5uRPKzTNzsOcjjTfJn8furnmRSTDlYi0BbrqOFO1SRuAg9Y6l9XIstUkZmTdTX0CBbnrpLZkRB
9NxUj++T6SHpAkAbjKNkMhMSOWeLZ/pRYlbNYoOUN9z6PT98wjtOzKY+jIL7V0Zs7vxp8tAYLcWu
QHHgD91HGUzvU4Tjoq6C/6ygx3Bhs20IK37LNfu3VV/Xe14Tf4MeopojQlSx2rsL4MR5xJIEFwJ6
gKTq7YEjhES3r1XMa93VaPizNGdVjvcQzg+2O1LN7yP23Jp7qJtQFTd9zPvGPwKBz1uLWrz81gRs
aYlE0a1r43Ot0FNTtCn+VZni+3M7PLmoLkyP6J2Q8U2Y8R2mhvE0mZS9PhLwrnCmPcN7Mu8bdKOL
Q4yKJxyuhYynFbKYW9kZ1oPt8B9RA2Lf9jJEpjHvf2/lMpoJg2kgY8xIOZYi2GM4TdZmab8YXnlF
D0RpqcjPofKtWOr83o5hPjDjdij2GXKrrWk1n60X8XPleMgp9ABxnOaJwBuBQCeO8584iLgGKRWH
mMPIbMUnRIS9ie7C721MfqxCfh+GHQQ/NKW/97KRNC4f+cYHDLMNPYvFNiVa6UHAYFt4TEk9i1It
Q56WZm2o6d0yxqvoCTNIRLbp1WBcU8l5tLTYe3Wta3B8RPWMjIpzqUnEuzNxyfeRxe6BDr06TA7+
mMAJjd1vR24NXXDpMvP2+1dIieABUOiCascJMrU70MdqBV0dVubOtnS6Utet+7k+BTWpMIbJfzNQ
48tMqsP/67wZ7qKvlurIyBZVposiUZU7r674oZC8uDar/ildijupWz+oroGt5Maxj5iowATi0mEl
jS2eaEpC7qCAkDOECW7VjESXUmEm8/K+NIJlQlOeR4rIjQqZdsTFsfZwfcc2n0RLsumuV8eEm5kN
BKc8cjMa/6hl1snjkbqqw3tODKxMuUNKhITCNW6AqX8Mk8OJxBWmoSbLZgP3GHZOXEBu7aK95Ixb
/5Z4qRBHqJlY/xF7A1FGJ2KnLAEb9Hp2AcqtEKSJpmtKX3R1OBxgBBDcCYKx9vawdVU49KQATu9p
hd8Et/12kHypnXz0/AmYD2JR+lVj0wq6h46OoGhCspaKbo8g5Eeq2l37f5xweQ8jypA84KCaQ/8J
u+stgj3S9yV56ijyJos6u7d12R+wV4VaDnX3NQHZlHpMC4imU57xbNfU7YaidFERz0al3tnEJtmN
1Lgwn6I1Om3GiPYTX8dDB9Jla2FG4mY+zhXDfBR3mxZwBHIrxP4UhTtReuXGSHIWfL77VKtM6uZ3
4mBM/DtZCV7hZMc8TT9Dsz+xdH4vK2r5cATjU6poFxoxENeJaCZOR0/xInTNPR0h5g5M4DeN/UHq
XsRGazXMA9PThoLc8JIfgxSmxuUrCChqf78v8ipXTDrOgG2xIeDwYcK21Z+Eom4E1jf9aRN05dIj
pKy74GXjPfF7fsgdz22wuExjYiiREzKTaIZDHjnfbUplvYzdXYx6nBTx0mZV/PN7w9YGT4HNO1QJ
pevqqYaTMizfbkX2AmcookLKQyxykJmf/XygTq94vOgIafcKDkW4Wz8MakAIYIWvBq7LomVdPZQI
YmbJdebxNqynkpNmgMi4wudusNRac+/y/MgyJdrJ2jnxgKMt97gjdKfZpAAFYLai7TZtikwXrYVN
up8uirs0fihrckvGLv+XM2dF8AlqHEg3F5qPE8QDQLdih5HL+b3y3XMg5UNtUZ43rksKAJsjUPIU
HvztYZHN1vbil1gVmBT6dzAUlwAgo0a4/Vf4hP8RlMjEm+VhHk6nhLeNvmFAb0pxBaql3co83xkR
IBrEVoDjGCNvS0hJkuiY1eiwHRBjwWAeR908LH8m8pFJW72mef6lOsHEvGCViTJvevHVQzwo8h45
CLdjGH25Pm8jnFDEpBioDipNt7xE3wUxI6smJd+gwGdWzHxN/qjOfZc9L5LXaojhQZHp4vy/ZU1p
JZnDeOizx/ShnpY/OWS51VJzOVfBjKsY5sSauwJQCYDRAOuYnQ7w63E/bqdeAPGebOuGFZtbk46Y
j/UtVyXD3ZHI+0iq4WBEg3gIa1K20uXVU5a/adhyYYeknRZVdOar+n/94Xo8d/SPJBD9a+wzp1+K
9Bb5f7KaFH9Yu8ooJKwjqRm7yGmW41ThAiIcAndYGxmbTDT8pXDb/RzzQxgD7xWNwcQFMD+rRu9/
Z3e3LMlAcsCLGOluc6/gGbYdHKMB3lRt/6u9MIVEwdkUW/9j7zyWI0fWLP0qY3c9KIPDHWrRm9CK
Oig3MJKZhNaAQzz9fKi609W3F23d+64FK1lZZDIjAMcvzvnOF4A+bi5sfEzPjnEM79yq+isGFP8x
oMAiVvv7z4cUgwPe0n4qGLq6LIoZSylkAA14NHf4bj3XPIylSa1vur8Ret1wO/c7YCOrVPaMwmKD
dKeh2SDvo4pQtEzQ0VnTkGKxxxL8XMWG4ByxrG1L07WOXW88xk3LNVdV6D6FEk+kHNBwCqi2IVah
2KxZuvJcavrc2xtG3p97In0gwTd3oeAkQ6W1H5smvnGDidPe4qHvukptGbv5ZDUQ+OANPOYzQmpZ
TOXhrmsY9Qx2w0o8wVg5ji78NcsTW9a96a1FR0jW0v5/2ZxFF3fTdap+/9s/Pn/lzBS5uJr4u/uP
jE2Bld1yJTDL/wLP+Zs7PPuc/gXO+fcX/sXn9K0/XNu0pAOC05KmcviWf/E5Pf8PWLWOwxIBdddf
v/P/+ZzOH9SAQD1913Ok6/j2v/M5LRt0p2kLHyQM2DbXd/8nfE5X/Sc8J+UsRFdpm77jKb6Z8v7x
f6rvT1JHw/bf/iH+L2F2nWfnrkOGpH9tsjhBC6VJUSlYEo814i8rhdBRd/VPpXsUwV4X3k+VwCeF
YJB0HGIhgaqpspnXWOUbQg4ob0JfaChtXbQD48SUMI29m1nLj0aaUE1QtQOdvMTxxFqtna79nNm3
9cx2PWC2zAnLloCXcoSONLwzq6chzkL3ZCS2g7ALQ04K8hrKeZIf3Vlv8o51dlqEj8qM7TvdQ9Fz
Sjaq/ozZD1NcWeK57e0R0FADOTlAEdQQn3j1nKwgKMFR52ounNc2IKS977pN1BLPwDb0yTeJrnTb
Fo9uAlAH4yCO8BFfjeF9YrQa75Qp7Hvhhc59WFDmzE70wpa+Pcfkh+47xtY35oze9SR5XmIkpO4x
F+Wkg0hi56aWeWuyAMakBN3nz09rzgYQjQWLi0Wh2fXj1gnHEDmP7h+xPqZBjmm9HxVD5Na/V5H8
jr1tk5Xqu+wjcoFQe9078bQXcP43BDXkEJwoOfIBr0I2mj+qhKXZU1F6ZnqBALYFMXULmCY51j0s
ylmqL7Nyvuxg/jWBBVZYfdGZMYlOX40IIS8CljfcI48datyjG5nf8cRyzpUN04P6tq6a8IgRF8wJ
CczChFlRF97jMI/Zek5f/e4xmJNNgjfaRTaKss44ZJ0kWdolBzkbI9Y+rDfXLNlAN3rJXUgKCxuY
k52zc56T2Hngf3qOmykC3VR7t3bXs0poobpAyibylxgkgszOkxPBekhS+uHQHrliKGtQ5Uxs0v1w
Sf51d0H7+NYko/uSRgjqlcMu2BtOTOyXWhUrg9GMP+7CjAOGhLSXKqkZXo2CEZfhmEcsXM9ew294
35OECziZUbNzF3df6+N8qIziGEgwkrU0aayr7tJhS0RTXrTHfIXZ1iGpxpixVAbxevCb7FQWiPli
dPVlo+djt+SiIrmAAIoIVIvxbNqM8TUkzobLLUn6TZLS9A6flrUUlYw5DDB2FGNEnRIMgMmgn4P7
Gp4Na57Ww7JCyEZuu/fjuovz/JGYAzrYThys2JpP6t8//P0pi970SHu+9mmGzgBO2YmENRPfqpYV
y7vQfLQGAQS1R/MSEHSrf2aiRN/rLDQPavTBf9cPVqftB62XBVcEGmEYkRjHrWldZJHlR6K9L3Ku
C1i/8lPEQ/ibm5rEKml++GlETkhlEY/QzsYKKwQ2jZKABjOw+02TOeZz2tSUCm73kQeDvK1tjq2q
N8brAC8c653bfo5mDq+mw60b5E+tBNhoVIMJbibKboUCfqYxQqV99woOrUaC7ccr4Gj6qHAAHZus
+ciQxn4YtfqGj9jc9bhzXMduH5OMzbXNU+AkZyTLo91Nh7rxHiIyNp6wYn8nxtQebNf6caRTyNUs
63oVGBMglSziB/SwJfjlruqFddSV1CeMIuhw33Du5FhyMm2j90O5OFbJb7B/5OcWDNobcmn+/MzG
aH92ymlZOQUOTka3RuiZNTAb9w7ZOfeVmMQqIzn+Ovjivdf+Nuwr+coGmOGAKKZ9Z3fzzWjav0pH
EERcwajFkYV1CZTPCQt/BEECw8Ppz8///vDnf2PHFq8gt4aHiV7mvu341LSaCFqDJCqldcMrdC5G
PmjLCG3Sm5i25/ZP2eLcIv1SGFUBchR4uvuSq9ii5c5YO9fK2fWF/9zHpM95LrLUUFjXwBnWbkkS
JeDAdovnKCedmOGiKqb+PNkWs5aY4mfKhzWxFv0t4eq4+GtH7mt2mFuf6Jsde+cNrYR+R76IjD6v
PmtZDtvRTaITsrLx2vvOPUBX86h0rPZBU17qIq6fuT/yYz7mv3TXEFHlwW8qrOE4krJYLCHLTWhg
fnjJy+ahjbR76/v9b2PK3VPRkUCAW4m0Td8eD6kbTq9ap0i2EC2Kfup25MALww635NWLFT6kcpu/
W25sPaMcl6eoC3dh5j5N3QAuJpfPbRcyRi85iQGy7KTD3LnCYbMbs4aBSiWPARIvgwYWqJY41tbi
k/ZbjJ+FW65sjy0AWFOiMJHKKTbrk+qztVTfaqqgUdQ8dIsKVynJA8EJ2Sk2vfIyaRLTCRAH0rOg
ZNzeRJWGnbKfPdxb6ELARIFodOBdWkhCD7awI6KEO1APPOH3sDpWSM9a0h5zRh0+fBQyyPMbLjWU
U259h4VHPMbZvKk7JIMtp/rWgLkMmcdEN/bXh2nAZj637lNe2E9J5Yw3bTmMN1PhIgpoAMlAvsBu
5qCAdk3TwAiESUCzNWLq35EfXXf3ASqQzsT9XQTTZaqIRSJlWF8CrxzhVpnoORa6EG8a2kFjuvTD
vI5oVlE0clxPU/2Do5m1mz1uTOk3YIiJhxkcs0SdkLwZAEiPaczTjzGNjqN453f1sTNntdWNdzeU
noYzxKo1O3uZJTfGZC+lVfWZ9PY1bWsyq+YFHqXbj64gwGGEt9YhvMGlUdyHbMa29dQy7cGX5I94
lknSYWp+57bmS1QKuKAJmzFb+sWtQGRCE5Ovuwp9VFvQ8IYAFo6OYWgGhipejw5NjJAET6UpRKmE
wyQJAjLv0qHdSBJUTj54WFHXTO/qi2VlD35QroGOEF8Ro7e1esE0YQq3BpCIYvSSPXPNZF+NtKEp
+dvGzNIQ+O60SLmCBorTFDDaoVnbs5TEGWOLgp4xUbvOncTNpLNPw/dbBIpohkWgkR5UwU2FyBuw
ODoZZwLEkZHBYs6f8EEd6A2yXavRc1YtOB44NNizEggqx6lQw1klwLZ5VjLsmM17Y7Ff2my+N4MO
T53pceEDftm5RQ87ySLWQpDv3RK+m0/WkjSbn3VbvrbaCoB84I4pI6M5FRoxVuHdTnY072jjSHCY
q03hYqKL4mhXSHXjlVO5dyyxZd32YbMCAYCS6o2N4ooYR972ConyIIZLPyssDyJ6IPtrZt97biwC
rfN+JPWhw+kUZWJr1TR0XsB8HdVwEvFdM4CXe5ORR1bV8TEjWQyxJ0YILwlfJJoVa8T5Qvt+V0bd
whNxXxs77h/Gfmv4zYs1tLcO8GTISoDkajYYtOf+TrZOfOb2e69CdIlM4o5lFBknA67dpq1qnL0z
lUoyERTUSpKTkTSThhvCeffSA9rD7uCFQ0NJPWMabYJno11gHDoKGTC461o6B0uRAoktHKBu6/mc
2lusJMN6mUXVC/rdrmsLgbCLjyFTvyPMBUezn5P7ep4qzjtkIP67k+m7IdPgXazxoxLn3LEhR0yH
JJ2rrfD0S9UXPcIa/USJOzBEbzEMAtiMC2Y8rYiirWrFh22HTHwmmTGSh44YeRT/0rCpt1EtF4Vm
dGcg3yWd2CmNHf6NUzVg4m4jwugRLxJ1nyPlBhGYVigFfPQHDgu+fqAdqMpFGa5OGUuXxmre6wiT
ddmC7TUydann7KWxza3X8MZQ4rxEirxL0kSzMpmeYsshl0Z1i7G03Pxvt/7f7NZN1/L/6zCNeC6b
z/w/Nfn//LJ/9uryDyVd4Omm5JHlWHTdf7XqNPF4Hz2pXNf1pAWd/+8oDcXXALflH0lbDqLj71Zd
/EH7SJduep7gax3nf9KqCyGXXrzMprAsjr/I8/CW1EwpUQzTkvAjWkR9/MdeXfrMlZBq6gON2Uvl
mC9W3I9Hfx6Og6I3AWwZcp6Csie7zFcEN84xecSoq9rAuJpgchj+oYqBVYFK6Bz4zN3ygfjnZvwY
pppk+wl0eGq9163tHnJ/J8jN2QiX7XrqTHf1yFPXonhMFBybUGRYoHLzZHRMR31cXbsAwSddDT1X
MoQUvcVIlk7/DRDuktsGtQ4OeVgp3m6g9m7EBjIKP7TN0LBDWBrG8UfNZmefxwJduXOTZ9GDlaoj
tnKFe9z8dgj6tpr4vdJAHvF6xuu4XRwjYH7H1iP0yKGCzrtgXJlIwQEAcn9HA8PuPr2MKvnAZ/A2
C02v2eLmHyakXw0SvY2Zk6POq70Fb/etZjB/vRcMh9n1vmp7vKQ+OymU5PPZh7MVmLraDdaAUm2Q
d04W/HZFdJzM9j6frulErrMVYHqJ7GfSw5HAQy1ZOy7cPLzmZUfUGLR1sksqZHTylzD5aeIBjXNt
fXQJsL+2bejf7mRb11unsdnCNNS05BfQs6MSMsz6mWp/nRvui2n60car/V+iA0ptsx00HVhk/jQS
ajsdNCMCAtQMTk/5jmPt1U/M90SJaZXTL62D4Ua6+XkAmR55zSVE4yUC99FOKFA/zZY0OFlJKDm4
F0tq9c7UUFwc68IOSADQys9tqh4ChPp73TxFUz6xyuleAYSfiPn8XafttI1o4zRPVDbV9Xc4QCws
2fh0DSlz5tS8Wb4iQoJhfdhTqC61mlM91H70qwLtvx67GcNWIF41od8RBhb8GMw0aheKQjxuR6Mz
H3Rj3oUgIGFN2JvOBtjQQaLaTE2FlTHW35BN7qiFq12cE0OY0d0DOiDGala48ktPrBFnxRh1/Isg
03NVyYCMOXDzUYJK2VaPwZh8N0Fg7GVi3fb8O1BBc06WcXXTu/vE7E+e294ybfFXNL3husejtKqM
Z+x1jCCi5qeQNWokO7jUQ7wj+e8WL6u1DUtA9OFu0u0DoSArYzq7fvfmt+DqwrQjfnzgAmqbi+2A
yCL9I2mQ6Ei2jZXfECdpPTCSR31iySvtwEu02P/MS6WCHHD9AkWckvvWezP0vMGzeJAifotjaBCN
bXU7IMFkkdTlg8B/s/GgHq6MEkx+Mm0GBfZqwMk8BNUn+ac3AcEzKzzhz0jw0U5zadRiAUk59T5p
KA/Iw3bXxDhD5gsABxZ+SKnB75NbUmskFMH4POU/zIh+DSr4yubqjkyP3yTrPrFjho3KXqxw553v
YQQaCvpDYi4OqeWpdeLNIEpoDpSeX5rwSSo1HKEP4T5T7KSykTFaND4kBdxYHcDPTn0AvxjEPINt
uTEnuxwGUJ6n71NaxksQAyth9E3DDz6oYhvPuBCJh6WsNXtk1qjJg7Z5LA2GO5l5iAAFbQipHw+z
+u1oOBjO4qADrGw0+mLGsCPoLctND0VvaDs4G35CRWX/EG4GPPtmwFXyNeOhQOHkoxGG7EBkp7+X
+dmIWLvil3/ubV55E50LfWpOXmXJ+myM4WYkj87MzaON+maq3UuWIuEC9TFY08vQqc85fW9T+26S
SzoKqE+CUTa2mB+Xu27mbF/VHajNyRLzyi8WFZyMmGLox9wll3KKcRkpPD5D751UopnW5g7h00uQ
C13gSiI5Q+0dHMsiflIhW2p82NSyiLxM/ZIOGyS7i755CVYqRbprrE0php8BkmuXWWKPdna+J2bE
C3H/INSFIKWZVJXuzLivYyJH6AtYgzHZOkOz7PGDX3PoEqu54PBCdQ1dnlFG21cnVTR7o0Ib0oHx
2ETRRzM3n2w0b/HVo2cW7m0fE4UAx3FF+h8urqS9ZcRN21tH+Tqxs62yeJumKOL4dBJkPN6xg5y5
imB67KyyujKnY/8ePADH5lAC3+DEwtqZUf2m5mETQpuAx46cyNGL5fLTDaN6l+LHmAtYf+xP5dbs
66s/DfWxcow7LAwPdhT96B4pmBedhskndpRN26ZWMWeWMYuNgid6TiHwjJ1F/GVqkolYadIvlA0a
Rr6C6Dx2M2Bfg0Ukfv4ZFhuX+G+XrC4WYwJhqgKYZ3fQ85rwAZs6qKWeOYjO3L2Xw6xagD/LalkU
L1mTpZuuxsEkveFbOaAeF3yizXlSWJ1iSgbCy148KoBB0YS5ormrLFveInfPytl+JFq2pTP2XlAp
3ps6E0+T5+p1VOt5p8ekP1ERnbWf1l/KbKA/LjGXvsd4A05E7hfwkhm8isojcE9pnuDOUG0rY85Z
zfu84o4YTqOTLYGnpB9JV2wbS1mbQKBfKmU13gj/qKbBegQlR0xMFNxJb6Yh1SfCTj1rV+fGfJ+g
LKx0cq3V9C0D9DhW7FtcxsUtciFAEI2NQT6KiFFmKB3+CLTcG4/xKopANGMgIBH41KRgK9hUzpBs
p+HB0W72HSoAjLXNGprozhNoazjLKiCcwBbZBaMKKXvLr5LZio8dB2oxq2PvJjPouqJBqMCG1qop
zYquvsJuB7YRDP7BHXgi+u08n1Kyc/cCBjBeAq4APxlu/QkNftMU2bliUL0WhTEemeqfgzIeT7XG
S1knuMyq7NgBVdjw8MheRheJoMZgONZtfmsz3J/a+AhM08eda8EVmUno7YbpnWttBk8u3efOmK5x
S4oP62TWwlQJm6HqIWK/zW7PLhIcEAcywIv0fnSs6h5gBrbP2eoukiQshxb/UJDmCAIFZYyqx4rn
J6YzZgTXGp8NMUwkljMBip6iQMIOL/GSdF7IFrSOH6QFx93tzn9+sFslDzoHi5QsuogMSeDG4nhp
6ulci8Y9cyohXX3Ads/6nLzDTf06aGR0E4qH6MVBkMPzHJYTbN4rXz0ydsQFIFkohzXJcjTxDU7/
bKZGRPHO1t0ebkH3jLAYYiqbNt6oYLjKXNIT5sVvm/xKEjptlIdBazEcsohPQcPRDj6TIP6ShcWl
WUHMLLlXdqqOPs35d98H9h4sygerq2rlSXDF8QCyG2mtYgSD9gp4WQSZ68gMiXmVc41Fci0oJhLO
QlhUYN+yxmIlxvHIcKtd9xTVZut+tbELTkKmA9bMqb/0nttfjD4j1T0GROj8OH14o3OgJAsPWEvn
g1SsnZz7VbeYSjwR/0wTpRZTyZVlRuhG67QnNnu62H5/jgrvHjYnZKzKibalWdNAt3ugZw+1wZM3
H5y1H/s8Frr4BXr0HqUcfIrZoYBgHR0qKvAlOVJo+L3trPZehHMSyRpPBSQuiDvyggUGV/MPTQvV
vjJ3SsyHrDcfAog/fTNeSjIZyAND4yeG5wrjnGwhdwJnYZ4IfVunxISI6BLJ9GDho95nwgS4y+Ch
nLHyWfRAm5oT8jIMt7IK9DlPzYO2yJnpxbWNfUSWLl4IxAeobbydstWvhiga01cH0xrxvoIiGVq6
HmdCqOjml45pm5tAaBHHYUDuYFXpk7YIrbKT+4k/rPGj9wDSL9FWPCA77Ptj+4EBGxPfOQ56uUY0
EG/MRUIeTOe8bhk4z+kLaT172KsfdQWOWjHYQr+u7KUrGJtrWSA7qJvoMEPRcoxeY7E1nmsTrIuG
4tWwGRRp+sJpe23E4j6qSMtyc/mKww/hlntvVr61TlyWaHOxHkrjqV5SbFy8WAHkx1XWkDuYy/tB
osrBXvLoecVb0yFdoBYpUGJ36H32s437x3QSBATgOqjEaY3jVVAnzrr19ZU55KuTWt9OMP7uUuLG
Yx+Z/yKXLlRFkJ8RbFIQ/ce+BouVtzmz1oipcXEySjy/VUcoYxIv2fU9xI/BeY7p5JlqBT4cEKDC
Y0hkEkXQFV7ovHhwqnWVf5NPvQ9NdoVzb6MIbFEYTc3KGWYau7jg4GpZu8z3c0gsiHSuWmVPY2e8
jyImLWsk6FsjKDdtfawQG66FcqllcOWRZv6LTTMBUM1wpkK/ppycMNILJGawMXDlrifwgmX4zGoj
aSdYb6y3llcaYP79IHxgVfY3Io/fSvEepugSEaUyWNZvSauaE5z/cGPn5CEmVXljeK61NYV7MAtY
f8jYKeRKA7pz21hoonjsQ2MASmQCE0TBc/Gz9p1034ayKyViSndLi5tH8FFN0Hx1Bpw/YKalvpRl
XLSdnIh+2NEzM3iHXSs4DHS5I33xQavk6PUOlXKRfLfh0hTI+U2n95PNOwtuPFiNZi3R+BqX0EXm
44wUyKJBU8aOVKPEdaHWWoBTnKB8s6mB9NxeRCWhQZfD/WS55Y0yg6PfIjCSSpDdyYVRogDdsFXC
hJNNVxFRR9mjlWy6mzmP71LoX7uKqCdMotkK7zM3S+pdVIrWajIY8mfwoDGxcqKZJZb8oj1bbrbG
DLau+6A707Ud54KX153tFnVusZNudddk3jnGNrjynPpojEsRm8TgdOZ5WTrcwUYgQJg0NMm7lU09
uU598CWZ021CC41VPzmrJJrkUVhvOpsO6DDjYxhanzUnBrZ3P4zZMgC42YmpCPcuCYcr2z3TZzmr
vl409tMuGqCEoHwLRNPtohxmV6Df03a8dbz6Yof9b6uxHlhbK2iN/T2cJAkhQyNfa+y9J2mY4DHu
oxB3U9zgIonbKw8o6inY1wHPQMR88Y4pzG3E3yOBsLpGtAihY852BpwqCPHFry7yn7W3d3IT0aSH
ecmJcBneEMapEthIhKcDsrOCL6daDmMb1hUCwqP2+GMiVAY8OX57iXtklxxukdP3K0ch6CLqg9O2
rbknQtTf5vtM1PWmMsmsbRguzdlZUj2vTQ9gW+KNGzghlDL579L1CbcM/R0cXuAcJ5jel3yysQHh
6d8QgZGu5WwecKjJQwkSLJ6Du64ufjGcIW148Wxi0HmLjGSbD/x9RlxkXksj6dQfPfOxtecPOx8i
MKr26AW9OrVtNA1rHcljAk98E/gmdrbG6Nn4jajih/fQmxBipDc+rNdtnf5kWpzHAmaWJ6H757WB
EFBZHzbBReuCHmBjWRb2fAxtNk5XfD/RXurgS2NLIpIrhUkmDxULq9X/zm//W/NbRzBWtaX8r+RW
19/ZZxF+Fv8qt/r7K/+a4XriD2lZjmTyyvf7a1T7zzxk9w9LAlXxpYWmU3gu491/6q2ET4iysnzf
/Fuk1ZZ9FyGBsv9AHoUSS3mex4T3fzbEdT3rX2e4/FS2FI7luQIMmeTP/NcZbpx6cSuZj0IGsOUb
IbgOKVB1S6ECaOEAI96+16wfDn1FJmaWJOQ9mVNrYkcc7OIOrxvEVlJMyTUqu+ISMmO8VtVs4JrG
NrDJgUOLDabpudu1pq0MyPkBZk9SrEI6csSMzaa3OhIrm970zu44e8d4GDo8VamFnoCZQHdbG8qD
yzHl8tvsgoRDHJBEuwrSNPyKq5QUB8vxMFPJGITyOvABw62MnNUvrprcfMSKN/qrEmp8T6ZaZC5e
0M78BTQFmqw5jIhBcxx1zyqw2Q06Wd0+JUTPHePaiSA79lNPuV6ZrwWor1erBWzLiUtw4kbEc3Id
nFRf0NDUh4B51XWCFPNC1jzDI78Ylhuat7jix/ED4CWMO1n1di3KWm9KLA4FUxq/cmXKi6Qht1bt
sPSimZklr13Qoo6t4nZ8svhlxOnnYRUdoboFK1WaDCr9uWI9PORlelIpVA0mbZ1/AEg3YLVtkcwU
uR08YsitH7BWjCSxhGyZxnouLvmsvIew1eUPTOz6lwhn52YEbwgvuJvJknBHawdhotxQh40bf26c
g2vk8QsG8Q7PYBXv1IBM1THN4kQ9jtM5nJo738CiCFTWOEd+CuaZ3eABbat5RtocHC2jrXf5nGIZ
mek5sSIF96UskhsYCYuXrCqhJOQGVLLOJYpOIOZtEoIQWJ7CAqs9dFJYtY6W31TPlSwDQAqyzNc9
OZhrp/Iz0kgzA0lyrV9EMzmAsls5AKEJBODamanBDuYPKUq1HD0ccgrtbmqMxesAk/TOCEX14CaY
P5BmT2Qu1HZ9sqLWfxGm336qLinTTYnPCmdD7iAAczo9bGU4zTctmRhMkozwBGmmPoiu0/dYVaH9
5LKgavH8GCOsrJAvEHX8UiSeurVzTx6At+nrYOAwt42IK5wVwg+DDeb58APowt3C/TAzYF7kCXn+
1S3ID026mLYDf3x445pFfimTwT9GKo7A8KLx6m0J8Quwmf1ZjXVobaYujB9Hz0O1LdJI7k1QRa9y
DpLb3hHiNJmFfWvqxn616qw6QvaDiDGSSHmAHVRtWxpNInkqW1+xbFjPfe4OB2cYpy/iz5xXqAcY
wfvA674yc6ywHSEX6Vdx0BQNkVOmC13Bij6l8uWwvEIUN0HkIoIu2nwX64g+U6IpYZBVJjWe+Ny/
4dmcH7hso33Vp8VdlCbySlcZngLGxbiMB32Y2oliIOpxjkIMVsnGkyUibyJjOSaYOJDWgmkk2daG
OezDQnY3g6iSD2eKJ3bvpjsQNRDo/kbpumaQKRT2iUyksEZdNGpnJ0BO2heDPqcDs2zhQaTHIGCz
qWgMIa753HjVln6KGB07MV7ctMsf4NebjzOvNQdjl1eIj8xp/JEJLHSMYD0ae1shs0qTRUKdpyM+
285YcD4eN+4xMMp0z+oYZBP3/yJtp3RJNpXkrIl8lHGjJ/IHjTCTymMynJMpcu67Qrk/qO8x8cYl
zI68o+ERVjmf6qbThGwaEn6/GBFnjQzrmDMYc3o2nEzILcO3YdvCzYMCYkDnnFr3fSQyF0psmHMH
NkCIKHJwqhPFXlzqKVikVU5YAT2Hf8x41ZgwF+fhj3bM4tGYMUnjVFKEiPWuvlhSyy2MIo3/thMb
gsxRLOnEJp6OIj7/QSOafZQ1oE78mU2CItWGUs7SbIOpAiBDEYQRwa09L1YZeea8cuh2USGim9sS
LJWegnmuznTVCkZkXT2x0m8p1jPdLHyeKVLbAmJQuYIdmP9E9AIJ0s12elGM2G68dKq/SlfBtfdy
4IwlOPrNOCb+A4tW6R6yaKjeh85wqVY7TYEduwr2t4gm4CldqONtQWoG7nxDhGdw14otzdCzSyR3
2EIAqZYIJLA/xMC45Iyki7yYpmC2g18ld6om7E9bj21Nyucat+qYrNkAo9cNPR2+jlManp20H9+i
tkieTeRzaw54TSjoSDYAY3hO/2Buj0NiQZY2whqgoJuNSC+6hl54YtQ8w0D7dL3U/uK2cn/HiQeH
tfbKu6QT7rxqGpx6CJCdI65/BLwuYZyktTmwZ21vcH7XEz7TPLIjlEKgZhHFhkAICx+uhK6ayltV
ixoF/mBx3xBKv+c7xcT88rj3ACNi9bWSL8Sa82tWOTOHkRwSQA2WJPIqUlgKLYdhBpEGX0NQpi+J
1M8hzmiDxxOZIRwhThKR4+sXr9PcPo/BAKQmrtw7VXqo4qyJeQkxEM0qiwub4ZpOijfdOdlzUujs
qx3S9sYm3uLoT1EFE5SBXa5HZpo6CZBwy2JkHQEfBGp7OjbBbuKwQ2uosJYhnbyx7ZqgXiSFqNKs
Ssw3qZvZ3y4J6A9FVrAcY6vIXk3I5tK6k7pWUSyOgd8nn3nivJsVU3OrXoyfRdtmj4PbBg95b6Uv
dmiSBBmriOEtPDmrHdtThSsRXuxEVKqD3Hk9BXPwQLngXXITfrBGjEJFANbnpdLK+6qqqLlQEuYP
kW0N2GyJaXZXBn5ca1UWnXovuMnQBinv0zYdNpsJysF3Q+QddEhcuOw1NTPfIqHVVEl/2ynhEQ5I
BmZr9FN1TIQDfxJklTpKtuk1ghpG4r4bmKCRSmVucJxkO7sLrV0DxvEyNmnPRNLwi5Mc0+klbwdk
fMnQXbskbB8NLCnkwiDdLjMTTVqga3EJsQGxWi9l8+wAFySOpYKWRPOqTkQBTMsArXyLitj+8AnN
O/ESILoZArXzREfibxD78H4yicgxDqOH0MoWY77TA+NMwzdECi3behKmmjAsL5ktjC9hcB3szLYg
6yMlEIJomXrcAPO09lhKizdRemx+yfBc8wzpj11TR9gj/fzUzvhlIJw5/OWHrPk2/FlGG8UgZJdo
j0D3gHW9V3KmFyxxt/B1nJskkTGvneXdRXGCSCGuJrQ+ZfNsNnV926dCH3mlxUdc+8YB6Vl3k/vQ
JjThOp+JB3vNT4T7GPUeozoFeoCFYW4THkcnrG0ECr0HzJsnZts/TJUVA7gwa3GTuKxdEFcaHz4R
yHu3cxxuyclH5+ZniCrnMS++nM4T941ODEzGFtlVYUAOfIkrFV8xT+7zDDUhJCmgV0d0b+l6jpvy
SdM7PM+p1z+kwAhvrHpmthcH7o20+vnFsDqIVNXg7+EhJTfd7EUI2vr4gLcp3EVxwJyspSjTkgCV
VPvdew3n8XPWrOHENI93QWWYmBRAdyEthASq404iVoTroJ1QAYvQ/ElzVl3IALI+2lwGz02+uHVN
ioVeGowO4igvL8FIVBbEeCwVq0IYI4pZoDRwLHJ/77oiPf0/6s6rR3IzzdJ/ZbD31NKbxWxfhPfe
Zd4QEVmZ9N7z1+/DkqYlVQulWWAw2AX6oktVJUVGMMjvPe85zykAMp6wDpgzO/fND9HqAPfbBc9g
YEnGu6ULwxdJNIMbbmwJCkZn7cqmDx9mIHZ7IP3SNHZF802PXe7mWhBLtF5o2pdGFuTuVb6wh7xA
XMEuxY9WiKVtWhfcKqzIyp9OZ3vzkO3kEf4y/0E7ajemZLecmrL8ItIi/gyx9k9r+DYTXyzVg6iT
qB6JoqRD5e1N60pHGEE3QFHDnU2Qp4IsMlKEPHNPuml6S6OQv7wgtlZg3uk8DYDyLpuAxo+G5+4t
9yDbESau6KFI1HQGekC5hgQ366krhMGtlih6NfzOO7kqdKWRyV0EF17cwKoAQHUIjDLdZ7hFWdwB
iF3kvozvJaOv5eQkWc5kpYn9OkRqm5eprZ2qJrZfjo4z0IoUZ+HDvBqqgs2N7EgOuOS4uOqikIxK
ILdjcsX1NW9jAaqVPmRV+9pfNjC/qbazo2Xc99xnCaU88kARz5Zsq8dKboxZ2vvKLc9VbR4rLGHN
BOhhG1Oa7tlNv5OdTyYjTST/LDqbmqLXdKxJUU8naRfEBzdz6FMQg1A7YHmDsRNmMm6gOqrPmRp6
yVgkIfdQg5pnpexbg25exf690rCSs0sozbXfUdmtgJNn1W4LPRNDHRx723EOHZ0t1yIwg11Y2bDZ
I72Dik2VQJP54YEaIToKTem9sQwVSZiyUS3rmPj8sghYFnY5grvdN1uJb/FEE313LxICIdoiVzCp
wGO99QNBVStE7KCibu9olaEbhTsE1eKZZtDxFJnVWnOpMCBWzaaSja4RDVcqlyEZdeoieLS1iwQS
PAcTVXYnLeFHZFIwau+SndlsTtMUAb82QO8Wgt6eUzqtXlQv2zO9r7y3/16J6X9+tP/rI0m7nBt+
Wfzj34dfk82YPMvnn34x/a77HKvPvDt9FnSj/uPff/+T/9nf/LfP/4x6pIimZvxMOTp7AcitPzr/
fvsrv0lG5i8WQ6GsajqSiP5dGPotomf+Ikqizvf7B8FINn+R0HA0SCCqpGkkBX93/Rm/QLGXRVMx
VHJ/Ki6+//jRD7+a+XjXfn0rfvv1v8VVdICPVZK4GySwP3j+SP6pCq9KJiOoU1CqajgP/+j505jh
Ss/spAW2A3LzRXUK0YEAcUsi5ybTXOLYIKFy0mN7QjaUej4JJDgcXY6Za8HCFu6uO3Tzj36bnaNz
em3uxV0TuYt9y+TsQlAJeYUnh3c4/uEt/otXbkl/99IHKewP0cKUMnOOrwCaG0/c+Jq0KdQmmAse
VAaTE1sg8Ri1oegCY02mzilOhWpeu93ObiLUVhmGv7Zva0BhemZRnMcWODH1jUYzqWTE9kzuo42o
UVxDNYVAnpqo95UikHGRtuMmC4+mCj7FE+HTaYIJkbekX0PRX22pl5MK08DIVsN1JvLFB+Hv8vDW
0nnRe6fQVK91qZFf6V6CFidzYYhHYnBfurnqTxOOkiOt1r2lkFBGBadz22fuR8XxfAn9Dd61FpI5
ceJ62inOzFN8aURjWXUMofcnPD/nHF2MXUR1JDpetIS5y1qBADgcwSDk5q15ATjayH8FpilPDVN/
Ga0/c0VOiHarMYCZ0QKufrxVcLTBP274cbTmS8i59RkiqQAsTHNYb+OT4x90PtrhI875rM1vOp97
eW/v2TU+52dxK8Yf3lracOTAGlqn61LgsxFKn4hjn27ZcLUU70j5iPqRlao7/tIzhYMsUqJAaypH
JvAdpc6uUZ3Y4JhmvlF9NIlIFCThOixhXMtuMlQodnO3jHZirosnXzW2ke5gk4wZS3oN82OfANfz
aYIHzURdGrPZNJH9a3L0WAijnlTvkWOu9Bt5+ntjJvNql4jKG9krsdsIj+IZPeEn4qBZwYN9qKT1
13bQIaVSW9iBuRd791JpM9cE9abobC40K11n1+CYHEtF+SpYoJd3tRCPqdfOQuSEruSKq/nEiVZd
h7fJkbRVe3HfrIf1EcAct5py6V6im7JXt1lKSgOc3VkF/WGpwSaWfOiUMEIiLGzqja7cD8Ev7sUN
3LDGiG+uapRc7K5lMIF1pkAhEc65Y9tja61sEo6jkDwiPwKXvhIe1S16+rJWj9nePaIcSLotIT0U
FoWANU5fpZKnvfWyKxvrDIV0nsI6P8qkaZsDndpkO5UOKq0fqje8DTRps4PA+EHUsGhX5at9Sa/k
Ha2DcAs7THaTIJ135SWLzwI/a/T0npb6kYOfz07Co7klT13igaWKg8XeNMlgqJgzm7YeO6J88nq5
npOm35PrQjiz8Xtk8RyiD0UtwVsc4BgM1tVOzbt9fEgv3sm/+Ho5HVoR0zdhbx8Nc15PuN3RGJuW
Sz6VzLXqsc5SZtPrT82u8KrElbhKYCp5NdVjmkT6zquo0+1x5YjhhnDiwbkG1/ZeXKtrxh5UHTN0
ZitgyrvObwZ6BvsumUMIDA3yeHiaM0wfSAdWzy46xnbyAjgx8nsKO/199VkQz1Gn9BPYkNiZpSzr
gsoJDb9tpkJaXeM0W2k7Y2ceyDfSZ3v13psATbXNIqYNxge7aiacPhAzcTpUWDW8InlGV1Wln9vx
pz3VFCooLwO1GuUmSslo0Xq2SRoQOUDXwOmOnY14KDPhKRCNHQuW9iw0Xl2FLsuWizKIsHoKV/Ui
CuxV1YN3ja79XbknR3yEB0NM3zBWcz33OlzpDMDEgHW3uzPXaMDWjp8yxE4IK7hYg77P+3kaWhhV
3p334rO5ZtAXmGLEMsBAw0p92E5j9nn2pUCByhyOKK7XSJ8OvVXx2RdhI2CRgFijT5w2ec+n3lLk
8pa7yaGGVD0KAZMI9ieMwo0Fqy2U95KMRy+ke0CHTLmxfXvlnyIEJNxm8yCnKC90FUhXQ9525K8z
axGq/au6tLfoIj/ss3nWobn7uBek9wLk+zx8ZXm3jeA15Xd70LJILCnQVNy7HeXbQBT3VDq8SWGF
M7ccQDEm1ZwwN1PzkRkpki7NSwxzhZis8lPBf0d9qJFylB1371y0o7y3GwypWr9xtTScWPKbIqcO
TEr30fJsgmOVocVKLFRHT5bo71YdiqPoIhztc9RjVS8mcRiCszVn7pP+0Vu7quNv8rkj2Zux3jW/
tFN5Hy6j4d5T7+E80WA9opwCcjoFrZIaGROVQM6jaPWDdJQYm/smnTQPMvfY39FPRg7wAywk1tbh
iYS/1YuWrHK/7Fj+VnlYqV6WkV66h34utOrgG9FYtLfxzb+BUXcYYFOfeFH51SbpDI0BE8s0Ovgn
Ot4Bt/TjUIx4H9Q9UAvbWPq3bi+d7EtIPottg5ZjEyK6FDyLoGBPTX+BfZb3yjZNzYuyUw/WKbpm
1+LatM4DuDSX6/A8ku7VNZzEfE/LhXe13/p79J6fcUdHe9M9EzJatPeeP5Of4zw6SusKURP6ZHhu
2vUU785Y/RDeJfMcpBfp2B3wJS/z1n+JD/PcH6WdfcnvpivMqzqcUAmxKmT1ZonLBpWKn40llGHj
0ASX5akjdWYYaye0V/XT/vCCaGwdhS29VtO2uNFrMTLiZha5J+VYrrA63VUYRVwsBs0fysTZlmva
x+Dg128RZaYkAK2C/1Nh6dSonFUT+rIgS1HRhNe/nAT1Ojac+dDa7XMuS6/ROdsX4NPa61Co1I+K
g3Rrb3JrzTCqAmzRxk9l1Qgk8XIcx5kM5Sc3EgC51K7swyOA+p1tzoRDcA51fyKvUX0xfozEvp/6
n/Gn/HIo7qMuSHuLP/33+N1K44XnZ0cNm1uiLeNjeswxrOcRy5F1dohPkRdu2pjbkdwIOVgiwPVl
Ow/Mvl+7LVkHJFOsSzkIWfUKkN6+Gam2Frv6UnN79EWTkjArpERIfmgwmuRUDjYpf7yFqcDTaw1b
iIiiDZYvK92zrlAC3xj+A90Me6dsEOgDOEmEFmgSfs1ArqNZHvI6si6eBKyAJ0KkrXJieF6UNoxz
trr0VEzXAn1GWsoJzcsfLnS7yorET5WGCYXZdxJaKsG8CnhAHi3EiCvfJ8eFTIIVP39poQFcv2Es
y5R4gdXPmPahty8DfTDb0hplUzjbiwCRQMZAAqVBBS+tNyl8BFczrotZ1BqfSUi+khhwusyag1JJ
OSwj8QrIANi5lTVrL6uHjwXyGXeomeiwTKz7mqLGkp2t5tkB2hufrk5YxpWwOjkZwQKCmlpcNAvX
Vxk8S9BLsSFuZHgD7LSs2VDLCu+RgHDSgDsIM2HnqjodPCw8ZyEEcRTtccQ2AocggYpGrbD9Y16t
Udqg6mUtXynLGKVsfzg3hwvHLldR5rZQUss7R9uzHWbOHAwmsWxVmIbDYcFg4ZenBoYO0VhZYnCq
cMFMj6ZJFUqtxNtIVW4iPYf0BpYgAMQdRqyZ47QH32/XVoFbNWmyLzVYWXw0HDZxZkme/xUaEYF5
GR9SQcR9Q5SP3tZu7sdGMKEmGZyorcILA4gxCuUa8ANlmSy5/YNTxSsR/gu9yJ+6gjpTxfk017qD
2XHhRjQ7YIWBZ5L2JxWN2fCAILU+dL5CiM5t0bIMbmBEmdlZc741gk8ZWFWuiqIKJkGjJtOfz0jy
X4xIpi4x42kSRBNoL38ekXw1RKoKNGkhtOwEzMq1V8UoWDrySHzID/PR30Kb6nigb9KbvGFJNTcp
quouIQfi8p3AjcsROabAwL/+/JUx3/7r4GnqOL9hNYkqwTPCdX+c3gTPRsdPfJkG6fpghfKnSVZq
HIE7GSXvCkfH8hUkmzl2WavpjpYL4698cY+8dbf04K0L0dfnzs4iyKmOCwX+58ML5VF8iU7FrvWH
PoMuWtiBe+EuHLLGk4H4iVNpKR69G8dOr9lnt+zZ3YRRPbPO2U2QsKkFC+vDepTLiXHuH8pj+P3y
wi1WPULynKo1Eh5uCpBrUzpsTwRkglN0Sg/BOm27g45vdR2KujJpfW3b5mwDtWoeBctCRdFmVlNP
jX+0WQ9Ha3ej7GP5K0h2RCFYKI1iLXszEKb4xs41Wy5HmHghGItLC8NqJFXwuaRDwYWnVC+/gBqe
s/YM1AKugQiRO2fY9W/xLY4HMs4juvQ32VpCmF5bORuv5OCvTcozmQKUzDpHXjqQrdiA97lMu62u
rySYuqPgkqvpPX9Kt+ZiRJS8pbQv5obLG+pv6G8d0VF/zoeJxNkYW/tsHVuvWIoKOYxne5NuJSOh
uhqUgJIKOsxpw5gzzDucThl+FIagnmM3PWoMRvHRP6ZXlWHp55eWJv7FlUXwgbCkIhGnNIbf/4Mu
EJQt6q7sKAstTVZ4dXC3jZR7/6pfulm9Z95XKemzVLwFvTJvl3l6aR8lvhr63vWXNwxR6iPh/csO
Ckl0Lf3o+KqkT/6BcUpP6ibmvsRjDiCgwWATv4uv5lW8cqoCBAwLHwEjkD+VGIfY382drLh3G5fJ
t1v8zY85fEF+T2t+V26QhyQd1ocJXUz9Qf6QywQqQ9IoC7UJL3EmT93UmIWdvPTWgknphjpt6Gwp
jsYdYuF7fad/ZKrGr9J6pwD7PXhvX/ob6xbt6Iq7WiLy0UaonyjR5OJM/VCVNHpWy+6ondldZmzA
CP6xCaAUQ0YDGNfEcfb+rjYeWj5Cy54KR+8QnvKdWjV7WsdX0TCQia37poQhnqt/crD+QvuRhyTq
jz87nzCJG8m0TJxOf/6Iq8YqEil2VLICzpzgP2ccRnKE5TeDHnS9ugBsFkmyNKAYOhPLNALROl3R
NYWOMk6P5TXnQORfhYt0SP7mg/krXYoXJmp8KJLM6vGHF8fNSKnJCxANqItP/s+kUuI3rxXhRKvT
/L389Pa1SpRW4Khx7WXtb65/8y9u+rCSJVmUcTFoAHz//ObwM1elHebqQvftbBE41iKYW0TMX+W+
PCuIM/abHJ+ANjBpTcRtcoyO2dU9q5x+tBf9qNv4nDHjBdcO77DCn8jP4URaZNfkanctsbdFuc/P
FUNgeye6gg9W3miv7FMgsy8/i3qrEMDsV144l/VdgxQ0/Ns6m0kpz3jEmW+hIn4zmUq7RcGESrJs
E15dptZiGF+pejWHcdZirg2HAbdh0q2Hkdd9D6+QEfURZumduouYjAFaXPE+N3/z3PyLt1AVRUPm
iyV+d+39cAuhzaDJDM9WFvlDM59SUlkj2AtkR4bB2GZCpue3GBfMzP1B3eYTuUFISNhRwBq2w3la
Qc48JTmQmpSjZg4jxN6Ea9AmHxtdsKf2ple7fCztlG2I0jXWz8M9Jn/WnXvwoxIG0YhEkEsZcbI2
IuFZ1yKhJRVLRSsJY+cYbNG1TwpU8VyiWCwSsb6y8MHKfx5ohqxgPoU3R39PmLQ7Ju5w3BXrlhk8
2Ht7fxjKDXrrmNGzknhbsOuG0T3lZk0FH/M8zopDfJTv3Z3P5aoc+mHwVy4//w5/vw3/+TsMv8zS
cCmKw9v849dEkGqOVz1G1469HtuLSXypZGGFpEQFpotRpsUrJnjqPrXnchttQtX9SsNxNUz5N6xQ
3cS8ditqyNz8neiMPmEYgbsGvTBPz91XZAz1Li0wiGWcB+6kT9qng/+EwMYyyEUZw5G6aU1vApB/
GmjdZyHgCBLa7Evr3tnthcu8B7CSqdS+gqSxnUlSCEQyUc8wHk11cEu0FChHVhlnvX3IS3sRhl9Z
FKwVjWSVt8lMDCs1DbleqUGDxGUf+++GNtJN2ZtG4r0dQvK5DhvNKsd/897+2QU6PBs07osigT9R
4xkh/ZDkJ5Qpxg0QNcrUqnCSN9LGFr0zQvY5ucmmt08S7Zg8rYd4qy9gf1YBH/CA8i9qSskV+5HW
2cTRraGmjNJbyCRWTLgbacMaJA6kjmjQPHgFuODvkN/mKZJI8MoHfST9qNtg7MGYCm4UvD6rm/WQ
MRrKryxcKpsM02PqlkcXMYvsJkz/Cx0UNDiq0luiFCdXa4K9Q5SIt6YAwlFWaNycboisL0otuGaX
ekeICjAGNNOTondrMwbjXDs5xcX6Uot3lgBMODJad/Tzd1Wy/vXMCmwBzgJ7GZmmGemHOzt86caP
C5oa+718xBdawWIKLEAIXvzclh6gYjgJM5QJ6yKeumP9oENR9hfqMbm1TbKvJ7JKpcdwsDtBuLXp
SCtL4oE0nuGQHEt6yXZ/Xz8oo0x2AuY2FhqH4bSKa/SiGdybR5GgflPN+itv4qUp1Ytmpe11W5FG
fK4Rk2KrAwt3ngpkIVeGq3qmtOqgvjvJThyEnQCFpx2kHnMQfYg77Yej2nBjLe7qyUMdYhc/ag/2
1ZC/hRuc9DfpQ6ootKfDuZhGYGhG0c2/VESGUqC1VvmejagnqLwvRGsSGkXyoHBtEivdnEvK+JJ1
0uC+t0Raq05G+s09BYfM69/ryJyRN5K+3Kg9WMlH/JXI4bdkw0RAKj/YpmpKsTaLgrAchJ65pULO
sTJEAnUZL1yVijd8MRGCCpnoEarx2amo+glougIKvzASHSsDSKlcSXu4g+nJ5rYbDe2pKBuDykJ2
ELsXNP1mb9TvRX+wz0U8uM1sB0eptlC9dZUBNG+HLRCVpyTLsCBU+Vb0D7UxYpitMIcIZOHGEZrR
8DZ29+ZOgGthuOcg2uf8s/C9u1tv7rVYpKtoRlz2KvJnirtyoO5lVKNR5df0Gl7Nk3KQdwka1s+v
WOVfj8Is9xQdixo7RighP1ywATk7VNtMWqRNfnc3xhkyYV22s2DojSzKHtRkLQPPB/2fvurRZ9XX
zlzM0z1B6UtuTVR1jtEAuMSgMxUITuFcqN7CQYMq1sJGsJWJPs0HhervRtfvt6g/Px50NqM42RW2
k7pi/nCKkVILNk6viwtZiTb5JTtpmwLdqEA/ylitpNqyqfKpQxLObL65kvA3RwB5eGv+5b+vKqqu
KABWsPz/+RTlQuzNSyxqCxsRK+G8nHyyrU/wHeIfeCWfwaeE7GVzp+G5o0DB8Cfh2TkKXNfIZNEx
3KfIZgXymaogKkjSE1/Lm0Hh9N/clv76lQKOkRVJtiRL/OGVSo1gR2XQSgvlHNyCpxJErwqFsj1o
Z1G6uOml/2i+FPJ7W1WHa6e+u308ipU3QF6ifZJC+mhEF7wX6qWBipnduXvtfn4hytpfvZsmdFqN
+yer5h+GFUlQ+YiCQlo0VjM19u5FR1WVv/xvjULHYrhxFpoYUQuCz5ajVsM7CuR1AFIsIzrUvRBQ
ySFnL3f2E1Wd4HsWPOv+89f4l18WwzQMQx3eRh7Df/7EKQ9sixQ6DIwpe2Y93LfiVOL4p80ZwZQj
7344ybZ3HkEIqkAK5/QpUGZaTvqofcaau8QfuddTwDidNi0DGzezcJf1eVdVGyt4Gam3DnL36/ur
/s328Nss9OtG/4+2iD+6JP5xSQgvRt+tEv/8M989AL//aut95Nx8v8qf/qn5Z7J7Rp/Fj3/o/0FT
hqxbIoPPP6fGwSDym51j+BH+9/844OF5vv5oyvjtr/xqyjD0XyxFB+qkKpKk4aPgiPRbjkf5xTQ1
hYIOXcUITGD3nzkeRf4FIQ2IMfGe7yEf0jW/5Xhk6xdNlSWsIorGCUEX5f8bW4Yh/fkLg7UDThQv
Sx5sI/zvR24yMc9A92I5nlPySjSEIz4NbRzNDhS4N8vYZCcFsN49xLIpr7rartawG5QtZc0iTc09
CwetFuNL7rbs13NNY+FA4HbC+iYcF7gFF1HUCguTdsJ5lfLYdCVRWwfAcw660UP50XP3VYZFMwdo
IUzqWOnZD0mNP2+L0F+RAUwOruC1Oxv8RAPurCpe9MwoC6kmDN3nsbwHZGfjtyqsd5wazq3nFjDH
SQ1sSSREtVAqldFIImLZq6jnHb01bJYMJ//WmdDvTbV1vVHQueXKlzoI0EVGOIfU95QagVYBZJTA
qyCnCiWtafutEOjxOnGa6uRVifJmhw3BygRiybIL3eQqBxJ0FaULJ4IM2A34WgKqhARQ/qCojgNa
jfKOdzvccsaJdxovk3E1lR6CTMNnhE9qSs63OymcDZatJqYundmY/IPUlkfUM3iTJndguVJHtDOh
eGJHVNSJUuQdtTSShKuuczRG7MreIkMaYOxVIIGVnj3gKds0bHTph97bX0ZWqU+6Q9+hSLJE7vpK
nmdpZEI5gCvBMq2x8MXSt9s0jbWgOqHbVvCtv5lyVI9kLoNboTUYHSor2GdSJhziPjVpJlct7SMF
0DFX44DpsssscVcGWstD3RahR6jOFpckPfaZqMFYzjmnunFuL22ZuBC3y2KTFyXjpql6O9mHHukl
g+2bECR2ACGl3YYuyujg6ElAeXxLMD5TqfYhF26iiibZXYBdtO3LjOrOugg2CE3GOitLkUtbytpd
hpBF8lUiqp6WtTo4F3pqf+XMmuVSJo+bQEmWjqi4u1AtdXzgMkVUOJJnBbDOixUI9SwNo/CpuwIQ
kmKIYuOttOGDWEi5MW1IbQczSejEbJIK5kAQNWRxIVIeOQeOFJ5UNej3UqoS+m/ifOWK+iFLAEG7
nbjTTEh6qSfS22LLxoVC4nyuhYk116Vcn7eOz17RJ7UaeG1HuYbXm0cha9139tki7SpwJPw61g+9
HZiLVMiBa0qRvU49H0tH4gbKLKPZfpISCKNmLC/5tgn+yibyNlMgqPL9tAEIlZSRU4AES4mMjHXy
7V5j1UZhnxxLtMZ1sbQWwd+uIjfoFzbrc/iDRRJvUx/sUwAGF1djRYGtZ1hnhZ+dKH3E1gPXLLGX
pJ9xFcVQHWhT4tXWZCCsxgjYzuqKNiXNzy7dbNnT1a7+AIppbQuzD+cVTbBHiXacSV0J7syTKHru
Uo1W+Zw3H0aSO2+M3B/2xkm0VZvK/sx6tVmlkeudI9WQZ6Vls/ATfWksgoi9K2HXToJOMeYEZ+qV
mLUxx4PGXLS5ihOtwNo9k2kqOvDVSTFVuYY9Slh0acTmIhDlIqVkYAw6auEconsErKk/etoRPUsG
HcUQw2vH3IdqgTAvdOkq0MNkWYke/GjRrpuRWxN2z+uOtUNv6v4jd6J+mrkqG0/ucaNCGmYt9vzB
Vo5rLp2y03CTYNOGu6Z/5b3E7Nc1xq4Oy3pfK5nN6jH2wUaWcaqPlVbLxnlfxvu+8ShhMMinF4aO
q4Vv08pL+DZYcSCfNckHjmkr2bSCJvnZY3oiE9zA1gCxIvI9b/Rn6CuM0DFshVNXuJU3oaUC5p3h
03SUUkg39kKLVX9ZFNs6Dpjtc//JCQc3QAHCTOj8DT4yYey2hbuh791ftRAnl0nrgI/rLO8WpLn6
VuMZpGSZRqdFR0ieNsm6bpxR5Mbpo+0NB3qM7i/SKssPiWCUn4YvkHYqNJ2err6wsOy0zhLFpt+F
Fg2FstZirjI74y5Ggi2Apqq14T4aA/fSfKjHiaCPQ9st2HgLpRccFafJNqn5GTcoahGclyvZ0QJU
IDCTxtbktVbmmPfrxsNm56U1b6ArdMnZ70VzElDzdsaQTKdNBweknxh+3V/ECsMW4KbYxRlY01EJ
RL6hjjT0smOQUZyYwrHY5nXIqtADfHaTKo721JLhr6fjaVrJZjYV+dJhlAvNSdXkcC0ADbPskNSz
recB1b5ppGxsOpnZBOKaWOdcCQuDyNVQ/ZGUtG62aHAAxVixeJlar+hGgmA1dGOnIXBaNsj1qsDz
tqjCIMtAPKEVjWICWS9wc/LGRf4lWaNG6KXcGKNp1PriMhYkcarFLUmrttGoc3eymRfSSR8oMuJD
HRCcEChFAApdOO+S5GsJn4Ba7VLVTVfA1qVbbGdwFnvZeSmGb24I7GDoKGsKFOGTxku4ZTtFdXdi
ErBkaNHDQC4qi4y02LHJze5sKW4zVyVDOFSmS109kbx1VYvIaGG1Rc9JVkEJTrqyCvtBEEd+KEJN
g2GMPMnFaONVGqyLraYvSK2VV0vMAU0JKgIVxdfgGqpv6DLSXIWgM1N70V0rbimcrFK15mFe1NUI
kbCaeK2rbWRN7dn76LBRaXwzi/dc1spHqHrBQdc5C3H9yNnTUH2zHGmwiOm7FEi7WVa34jxhT+XQ
hGvSQTyUeVjB1XVk+xSUur2kW7rZlHQNrW1HSA9CWIQzpYyrO7IWOy/PzN/snNKxqqM0bZTrGSye
LECJ9zqAkaGibhrHoskszOC3xp2bHUUyJpOWQ8U25Yl+NMSo2Saa4dFURZKbg5Py0fNJzi2OFju7
hHQQi5KNqBhlZ1EDdIPhKgtOCUGpSeg49laW4EyOeiGOnl1kBP4c8oF4isTKnJlCHIA98710qroB
d0+nyG4JMAriWZVzzHo6Xuw+khZ6Ygk7UE4+2QzdnnS4aF+RFelHTQyqE7GDfiZrSLRl1TRLWwJj
HUh2swowxp9BacurxjSzDkynGl9TTlpTR1L9cVFAnkxj91iAa04NX1yEvuVc2EyrC4H9+M4AhDDW
LRuyd99ol0jUjGmYuZBbcAWmmGrJjsZh583SVrFnDJXSSxQid+XEkUIXBENtX8hseNK0uVqaXV4F
uSGYI2fFzXDMCnOl3y7djvQc1Pd6bYpe84yNEnkpzhWwuTbsxbOY+w1OSR6/YycI7VmSoZQnjh+u
QoVunRFtV8pGa/LgK8NSMOsbyZ/X5HgmuV4j52FE1WaW7IHJAo6+d7mJr3zD4cBa+EkK68Sp3i2v
F6egZdpFWBQt4XNPuAtGXj9KEXY2Z0+FqIPVc5+LNTidCtwkwOq5az3SpLdPnUkMD55/JUcjkzqu
ZFo7rbfOCG5cI6P2lnEgthMkTAuznNw/Ui3FUqvk/I5ddxBe7AKCc2i1Wyu1MipKTGndewkAVfZ8
84yuivsQx9InpS3xbCZ4uONfoU17Wxn8SI2YLnxGKzKcueisvLai4TnjeE4fCsDYm2ZDxZsOqPtm
HNm+GZBvIWAGyTxvd0ZSmxtMIf5ZcSUbBGbM6pQgMeBA2BitOE44F761qhYByc/V2kSmKtHmCHj5
O8qS4p0nE/qAGlICk3ShcZJK6RdEXOC89p7ERoWc2IOO4+QaMFoF/E29mntMXPnIQmWl7Y6ylCDm
0aFHVjk3Ukc/5XEbrCLHlZal5Ch70hYxlASl/eQ6hAqTJlL+bPzQeClln974gfEBZ1KyNGS7OTac
OH0Aqbk9gdbnLOrKi86aF4vRSNe9ktNUqEvQ1dlH6mEkrERXieYx4NWJJGQ8zFUt30CYz1Zd4Acn
0fCJ5yq0wtw0MrkXimcQSAT4AS2Y9LFqEOIdQaqk5yERi3UiSfoW7EP17idCMZE1itvqACB0YOqF
OdK7OlhxfM9nGtPiHqKfXcGcKfSj5eT6LcliYeXR+PSrQf+/Wpn4/0hzkAhroBj8NAtyIbta5eyz
f42WDGDl3//ar9IDtGfIIbqEWIDKMBCh/0N6sKRfJKqSZEIi3+UF8/+wd169batpHv8qB3uxdxTY
CwY7wFrd3XFJnBtCiXXYe+en3x8lOUdKHE+yOsAKgxUGg5zYIcWXb3nKv1CUfLVsUkca4iC0vPkn
yDQPVcDX0oMMv8QSVUoPlHmRiv4tRog51Df2Kp+GKQKEUyl6qrouE6mJQxdkDz9B70XKwe1UC1za
7uWsQbgom8GF/OyJmBfmqfjQiSphrX6Frh40VKGbxDVgFxdHhwnL8YLI/LyBREF92TfNT36H3SIM
Omj76PQ7ZZOfpWTCk5TsyApFFCuVqcB/Ww369KUivThQMWKiMVd5KFsdmUuftRY1K+eDJVP3MPU6
v0gKehL5mvaGjh5XxImRTAXc7EXbuwllKA8a7ulYJaJe0J8XIvIEMjR3GOmP3sCUam3AsfFzqgnL
wuvcaa91d77xKMLQHIud8dR1GvAxSGFC/KHQGwlcN6z0LkJBV0xnifxZdBQwH/YUsa8X1VGulUFk
j2gSkJtufKQZAokDXgWlSkzjtBckrjDriFjECEfZJTpXIpQt2MLCULWoP6MEgPkIrt0aCsB50tA+
Qf8JgglchlsHglmvZpMiNCqCf8JXH0sLNubrMiz1c/pBZ45uXrhClSy8kqczMnnZGCKmP7hGLrxs
YPPY88qsexpIPtj6QKC5Xqv4sdK0iS2vWvoZh2Yuwe1vqgUKT7Oohk9ZgKJcsHnhDHdh68lV6ASg
K4f6cW8UvNS6TBB1oy7Rtjb3CMExRbB+TVrlocBmm+WgLTT0MpoEly/dcO4sq2dLFP0UZW45mDoy
6UyHqYAcAACXQIxYuq4sRR0RJN9z4ikCTZYeN3OPIxvxX6C4dkE0qjdXqetf99qja/oiCvuedFUC
6pqgOYVReoo1mJUqmBhxGvvU0sYN9jP4DgtLTxeQ0oMMNS6xtEQ10uII88IxlPR13IfLtCOcK2WK
z4afWDTO63xipGDanRg6dRHSGEbM+EudIkrmY7dCUHHrGf05rCK6uZQq/CK8Kcoon6WpK56JNR44
HZ0mHxEAsn1sjGOsINAplz+E5ae8RUhQgcqI4G31Ed75NcR52QoR0DK9CllEDygAfkVjNXuSS+Fz
0mNjFUkFqMiIpEkBSYnMBrl6qsMCgkXv5+G8b41zKU4EXgQ6uTCtpbEd6ucGVJkE+xZfKtHRSFGs
c/sOpw7olwjPTjtd+GpiqTJGrQQBDbfzzyTYzBK2qGO69wnWinQKApc0OEJFlotj34UHUYjlj/eI
xhb8MPPCLPqXoEd000SefSyK2Ydaw2nJEt0aFVzF5YW6H40yulfB6dYC5SMUx5CMQy9SRzcyKsRL
hE+w0sDaFFcvJtogMkl/+k/Nr/wpogCQfN05fRQyGNKfBlG6LPKuVACsKthWlPKwYBlkLGsTQcvY
zpt5UWBMG7joa0WQOwYNTD9PTCpAFZ4znZfM4zKFJeQuPCN88JDQVC0k8gZNTQNxTUOACoTC7LLL
JQOp+7yY+AO2z0q9layH4I36tYZYZ2qg2pllyHcOOp7NoOhZIu2ZgH3uA0uZIgEN6GDQ/wxVxwcr
mq6NDnHPJuwfsqYF4Wv489CHE4Vq/DX2fdkYeASdhkFlFEW286oB8dIiQNprVCnRI0X0BItLdNzg
LNNXRrQUb9UaBVOICYOeaRGzkXp5cQdwvxNE46JA+lRBApV/rUzIxFKqJrwq/xP7+BfJsYJZaQvt
LJWbtVDea7r5oe6sh771b2MFdI9nXnQKgpwgqhe1i+SvIrbglRNbOc81Q1iGEIVz3ZvnTqrPbDRO
4FdA6gp1d64VbMOimZnzRiC40hvk3GC7WY+dC2+lS/Xoq16VM4CP+iXFPHvqAVHKewT8qQaUM0cH
bUEeDs5dYPxFgWRDFm5yA5kNXg0HEFYvjoVkpBp7d4DtnDEAiHoWeJgHmGpxnyCihO2WAgYxaSdh
nGJuVJneLPM1aVyazFRHJIVskW3pEYwIXZeD3irmmXeNYKQHpIkmqpU3V06KKpvJ1JnmpToGAkzi
qAGrbKVnjm2yEiuoxwJuMWeg0cGTaMVTK9mPDrp/c1kC6ynGQjjrSv0O8a3mvCjNZdyCMlX1xzAn
HWustkSwB2/Epr2WFf0hQBtonAjNhdZTEbUF55lOeTnXYzO8zDv8qUrpU0/t+SKFpIWmY4Xaizy2
IT9cemXhnGcAIQVVze50tBCmboHEQpU26qXnBgtKw7goZZC+gzo5x755bUaOMkyK66bF9DfprWjM
AFkZRUAh39DoaLcHTYetdGugvociFfKn2VTIvAc8ep/LQj+njt2dl7TsSNyXqdPO6hKouWlrPTLV
sUqVMPksev1dI6EbqWjI8UUuLuOOjTcLBTWOgkR/tKBRCIte6z+6vbi8TsUUeiJFm3mPboQoJf5N
HWK763X9HdpJXwj9XyrBA1RnKOa4ssTzYUMULSqCBejrQAKC7sMoSoCA35MBj9umle6rDlaP3OqT
vkQYpzbNe09U4V3BNJj6QeovoxDLBynn6EivBST3KYNWmlJf5YV629FknVgJiBlURu8rpzI44IGI
Abq+QBvVRvbLsBGWbia5i0SpEfFLEtJWUNAxlvTKWxWd2bEh4BPgp81C1DSkq4FmOAQRk14Gw+Jp
X3AMLz6obnRvm3JyjS0NpdQ+JXcxoltEzNLzsL1UvdibBx6aRE6NZ5Xsu9FUTvE5gPwxjiUaLrlD
2iG2V64Eiy+lWJoWoC7MQJiXHgRXwevVC6WuMJCRTPI38JJ61nwQXF+aGWotTNPMaeeS1Exdu/qz
ivyPtaiCyzZRbtRNQUG1Buljq7gWBLm4CPxemw2JH/KbBIQGKmBiiM8Q8QTVAC9x52Vp4tgosa2a
2C2gyxPQdwgmlZEtK62/IWId2jRSMMkqeV2ipU0cAhcAQ5Gla2GUbVLR7gTlAgJ1NvYj9shOjj8R
peXXSAFwrOJGFLWBDZSJ8MbCVWlKLf9eqdHb6nuRWk5nWpPW9Ze1H6IvjKPezEhIsp0CgVHiskvB
es6gM826GN8CTWSaZFmEWJvUPTAHZnUc05LA1LnonHyppzEFSvtLhcD7FMNRYyxfeaoD4KtQPiJU
DvcHJEAPSjHrHR66zIieVXteojY6F/zqhgoXqiR9dieblBWdTDehUuirIKDyDtnY7IndkH2Zu6Jt
TdK0nKSa9gGjNLTPbMsehxpzlvDzqvdKYJ2sTDSEoEW2WJR0M8+xKGup3QpbFQQT/PrRRP5zUkke
+9hAMJS9S7qJLYrSSU6brdFgL/dPbYLKSoWmn08wgItRRR1C1saUtXCMuMdHepaFz7VBxBEXPt4f
0LADw0yuwGFhIF9jzRciGp9opnpWaxamkxnwHGgkc9a0TPFOR8qggLhGSSc1hWchypCDiTAbiH1R
mCixjMOGtu79pDtTpAgCcK+9RLn+VfOqcmzk1H+LBtgXWsUPrYIPl6J8DGq/GRc2pA45v3coghou
ELNAnSSx/SSqScg24D0kWnwuh5oypQG5Au6+RvUXa5RxDdZ4boXxoscswkSj3jY5NRGMQdxH+6i1
2kyOWgqOPmxFCU1CeJYYjLgssRbi8NiEMoGERDaV0qi/9Gt9YRMAICKdX5bWZRaCic3Swr5MaGjA
Jlcnpm6lczm+DfNFqZbeRE6h5hX+VdRU0Mrjeq2Z5VKw03uTnL1WqONoXQHIP9ORdLZrLFZ8o78Q
Xby/OiO4tgwP6dTIWqPrqgPgDqD5CP4HX497pCDHokWUmIWLstGqKeaKPeVH0BWmPs1k6C4V2mVn
nWIaEyn+kKDCgkeYJU5S9FUmFiL+S2763AECVzJJAdtXAlpMX2wfP9dGbs+cRrvPtOCLbdAoQ3F2
7JrmR9OpBHYe5UrA0q5KNPgndUnw0qEN0Nr0qdoXn2Sot69FG8RnQcV4nMr12HL0m0G6W7Yeq/Rc
Q1on92x85GpHPkM4viKeN8+TQHwOoG2fGXXRTPsIn3hNqO6llK5v7whzduE7QZOeQtlwp4z7upOn
UoxcdF8hHt3azq1keeeJ5XbTAodH2g3x2lHku9YsrlFYcxB2qUHghibaTqF/ZVbF4GgwOL9lWINV
SISzO4NJwir42lGcEm0W1pZxbUnxo5+EXxMnItJBtSan7WxYqIjF8TMKXwg5+tkNHZGFOHh56MI0
qKKLBHRzF8uLRtVeJHwdIUrnE2zY43FdmS//Dxj5FRUPpFpBa4AX2RWwBsDIr+qEvKsw8msiIsit
SRRS3sOrvFRf3XWed/u1o90/2wmJYBOGaLcqqih2GBvpj1fMigb6RAEzosH2AswyWHu9as/qIwBN
eH3LWI5ZpjxAr3aFI0kcsXlIoFmRtDWAvEi/g1lhNPfLRlSLFMMEL2NAjBT540BL2CsbacgsiRWt
wKlgas82PO3CpJfsEBdhJEMGAlW4BdRlXKax8nVvpHYYqH0VkwHh9hdWD5DOd7ceKlp7t5aR2QoC
scimCCRUZ87QP3T9fpEG9pcmw7zx/bsp3xXIaEuL1PeR69WoQ6iwBA5v59u1r5dqDMdUiIJJk0o4
SJLUAOZ59gznKqeEctaacjDrivST6Pg+m1mHTkYCNzSkBy/lKKMXgj9Gz0ib1Hr1SaqkZ0/4lLk3
au88eb3HjkOSYFzRFR0rVaidoXIXdclTJ4vYGgu3WQMsPdYXXuJfSEpc/Cv0o3iIHDV4RssCMaoZ
6M/IzLrhbe8PaR4NjelMnUY4LJKozRGgwkVCCqpb6lnoo5ZgcZ3eeczoj6Lp0WvjJu1MktgEHm/6
SS+1fNkI1MUEfK0SJ6Zwo93IhCYTr6m+hBieI3CNecpnTvaxW593LZ1tE6lBQY0xZVDnEBe/6Ao6
KrFvP+C3CiOgXDYOjRp5oKZh4dSfES8DHDQNTpO4Xsaq083NLlvy19ECLrI3aROTkroZPhSovwMf
sPCc/DNBnb2riXuRjZI73LsxcLGNknC0o7XoL0LQy4ITLjBCItdxpzV+dDE5aRRZl2aintu3UlaS
F1UzFbqBnyGH4sg3WrFQs5dCupRbLYJIcPa5blztQnKKBYcfOEJHExdWT7kJ57bzuuuKpZRigz0o
CfjoqsuuHlOq0HGuNBmlNlae1FxSwCmYywa7lRssZ+4KtX7yUTCmt+9+oIktzaBuvlATNK/jgWvb
BPin1E1w37s+WJ9wyqoIlxXYCKwzCAidPPzMEOrTEHVYkpsMgRci73wdCQOfsASqCqAGc1VLDqet
Ji0N9RGYgjPLDboqmN9xzNrWOQSxZlqmrYrSDg6tgCbbawonFEctoK5I+eoUc85MV88mTeRxOvZB
cyGqyJ1Wln3pxF6C/ONZKsbEs7UVYuWV+8tY1z8TtVtT0ndkbiwZS98SgbCcPjVAqmphBddGndlL
xNVR7O3HUAxJdnXPmdSS3F1gRHMvktHOtApfi409JxyTdG7KSM4RLp+Jek9oypgBWsDKC+DwWVhE
uIZ7/ovZoiAZ+ZIzETuhHBfapywpBxEuqT5Dm0a6C7T8ppDdKXUFwFwDMsiehwoZKGZMbgnZy4km
ZSOhbEY3ePB8sJV+HoWP1OoGyQMQdw2NsEkYFdkV6MIpVgIPRshcf39zUr8HDpoadFo2RNoBhgzA
cfj53sIFgSZlaUlhwA+sSxkgyDmIPYT6N3/c/h95+SyQqs+G2FMhq9XxJn+LTSed1+2wNwWCtlTa
z7DJ28um1eSpHqstOStlNEcNzGmISuR5asIxx7wPPr6gLExU6Fqit76244swj/xxCj36gpm5cmMI
MKGMeor/5MnPUqEhHk4Hf+zq5ktiV9VFjerNtWfQ8yqyqrqC3JCdAcAOaUZix4vW9M1mkP7u1tS/
HWiWThQHvfpuHDJBzyj+YxW//DHxqv1Q5K9/vEPQ0nYCbCFKxk7YjCNih6AlrjAUKJAQjzic9xG0
sjjiJzBWdVpcEqpofJfXNpY4AkxGoAJlchvF/FY0MoQb+zGBxvms0kXjf3S5te+7WCATs0aNJXUq
+d6fFfYWBnYYqW49+DYsEABn07AzUEUQ7AfPke/SXn9GPANoyme3gWgjCYCb3P4pqPR56mkADYSp
f9ljtEsKNW6NcOrY9ZXbiE+ZrMwDXNWpq8z9Pl9gnAceEfv19EIaTFOxLGuEqR0iZ0NqGfo5xwRM
PF2hIqdda9jJN5l6p9LNYUuUdedLS+mgS8EOhNm9KaT3PW0mW6dp4SbjgJ5ZWH7pw/vOyaY+5jqo
9VKkaa4MHOjgT2Kiol6zWp9ShdZLGd/qOAWnXTcPI5SrARd2sv3QdyCXTFt9oN6xyBv/JrLV+Mxw
B7MlLV/0dlOTZYV3pWMslLTwx55Wfy5zeAFm/gmFLTI+UZ0rtr7MhACx1vKrQGYHTvVS9cN/EYoM
UfKPL9IQDcjOzDXZ/C6466IcHRIRCFIIEsqJaYlhpgQu7IZ60o2BGzhGcHQIemMqYOWD+NX4X+yo
9HcPvwCUClgLoq4heC0q2nf8Ci+z0IWVPXuK/1SfppRLqnywk6f/hd3NNHDlG9UO8FmwMYzL+qc6
9gCHSLQWI11BsPFs3VGHmvV6rtOWV7wZnuTR1E76y5bkv0LTjSqaIyzRQKK4h9e0qoXRZB5j8XcW
YMuEWghsHcXqqAtjRZLY2gJThIushZwP/lGcVoX8FX1NxIzb/q4SvTmWmRIedtJHJZMvbKO9Mv3q
Is7c7DzJUmfLN/632Uzfy/e+SSUO2eBGI/EBe0L0O7o9Zclf+qVXzcW3L/RrOaLEVkWCJrKRHuSJ
my+2+ULvXSdc8b2rF6gPsjJirkIGAl+w+ZCghEmM5NvmxybJoq5KQBDM7Y9ZUYd58c9G4v2H/DFL
/vE67z3AIWJC4oQ4dhzMkWIMjyjhWzF82Fr2xsEaIBX8lKx5Ow7bcd+bLz9+/195xl/5nV8bBwOO
CxyQY4dBHumWDGUFaMn2czAMhjTS0AtQyGX/j+bB16SKy0HH1QHqexByDNoKv7IUvrvC3lIAa4NQ
BOo3f73jvSlgWEPMoZuslu0MIVo+raUAUvN7vNFvbwc6Y0BJiHz+rfcPHMmk+mNhXLT98XbMT2gZ
yIas/uJEWL1EXjzxALN5X0um+V97oj6i18BqMjc7Ak96uAggfREjUg0zTnQiGJZEOH3sMEjsBTyg
jDbAwfMPkwD6qI4Yw7c5cloLYahe/tpm8NM5gNfWUCGl0smWergLWLqmWrKsbh9+u+JOaAUofLcj
H17WRrphmcSdynaGHx6GBAUkarrOKJzaFrhNPBXC7l85Cn769mV9JOqUNGHCf5vie5OAaADYpQSP
ejs84slNgoGTfPRZoIwGQRCWwe4xD2eBYY7QvLFIw3djdHJnwa4KQbn6uMlgjsC4AnKFqbv5fDcO
xghWsGqwXLZzZTv5TmhHeM0Vjp4Q0kgm0ob/Kb81EKY8AupLeACf+cQioyE41uVjJwJnAhEg/TFq
UdvP4dGgjui16ZZOD2TzObkAUVJQ/T12NVgjDAAkeouHD0/giNgS/cbdZnF6q8BgTzzy4SVWgIFE
CoT/w6fn1atYRYMiOrWpL1GGOnbiKxKsAYpZ1GHfWviGgZupLktDGXfzOb13T8P62HBY4TgkKtII
/d9c/doIxseg5nC6x4AsHXsESOrIkJjqtLLfnAn6SGKMiBtPNT+UiFq3tYu/LGB+N0kGC6ES/asg
2d+cCfoIqrNM2WwXL5zecUhFT5SJ4Vm2/AEXq2PnBYvDItwyh+7/9nO4Pxpk1JqkDnCUzefkYkX6
PoNs01GBItbNg4qeSXq4fUpe/F7WYLA4RACplA5O7pDYNPuOngUyu8OggsWkemsWWBROSCsN1Ha/
/fjECgfbcTi2eED+jLQPiwx80xurAeqebCBtZYj6tx+f3DgM7MVjFwTNhQFoJokDxmxvJWwqSMge
wRvcDsDJbQfIKB0dMNC/1thnVRTVv73mvUEwKSKgugsUb7dbnFzouBPBOmpPVOjvqxSmgeAcTAFD
G3E+0sEia9h8Tu7p37Jy+91IQebco0jMGfvmhmiaI9VgnVFI2w7CyQXONP707Zs5IlyScK6jaSK9
thi/K6czCOj6oz67DUJOq3BiKjLB7LGBgTEiM9IN9I8OF4E1Eimkolu5ff07lbpTGoG3aey/vQ4U
gMUDW33AVe/tgZyEAI4H/M9uAZzeLgC999iqAdXkTfoMi3/7OSwgmpwTgPA0psGJnoavBcRjB4LD
ACgBmQeQzs3nMCygwzpoUCNycHIBMubyg+ziUUch0RDHPaINBhvd3iIwjZEF/BJ1yV2Y8BuL4Be2
im+QFKSlw5cNYsVbF29hVn72C69Qjh9/voMmbJQr6L8f/CLGXuvtvbdgjeG//3nQcdnQK/Z++Eq3
2Nxn9893D/jjrQ/u9fpUr3+58Nb5Kv8KI2cD0Nl9za3Y53/HL26++uM2X72sC/cAQrBpG/71hf7r
Pw6+7t7rf/f6eRWvvrqr8K1bbJklR9+iwEly/5tvO//HXhYJvFW+f9ltK/HYyy5WebeKV/sX3hWi
j76yF/10pHd1z2Nvcb6KouqP/1xF6T/+uFgVbuQdjBCVriFPOPYuF6s8BlUWHA4SJVV2iqOvzVIY
TFO219ks1W0N7NgLX66Cwl29NOt1enD1bZ392KtfrV7c7u1luu1tHnuDmxdcyw7GZZf0HXvh2+o9
dtbP+WffDpf3dpefSxUfeeEPK39VlO7qAFS1Q9McOyI/N70+8ks/INsf/nG9eqn2Z+AuaTn2Wz+W
5Sp/axOnxDXEhMde/+O6KP84W8fOKny92LA6d6HGsVe/WrGZs2GVhwJTuzrnsVefVz5XBzW1vdDw
vb8BEI++dnKwKr/1bo+9Lgf/N77Ctfc1+cLbXRYh9IXi8Dl24Kmj7/deIEA6TFI8NCSPvc2V1yf5
YTgwXHxbvjv24iiXvCNRduTqnaxeCMQG+sj1yuFlLFb1OvReR2RzUg0PQhX19e+GoPB/F5UNdxhe
9euVdleH4jKAhY4dpqtVPIzT64X2Lv43HOBXa4doctUdrApe8fDdSaeP/e6Tdeh+P+gD84em8dGX
/rbefs4POnIOjTmxXjxmz2EkvxmdAQF57COMXXdVll7xwx12+Pu/4f1uzplVMDzI6/fdTKDdHf6G
LeKco+Cn1/8bptDDmqXlfB/jA6DbFc+OfQmXqxfGZ39wIKb92MF8/zZvZZLfGP4/5pevyPy3/tlh
8jz8xtdwvcr/+T8AAAD//w==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66538</xdr:colOff>
      <xdr:row>1</xdr:row>
      <xdr:rowOff>53339</xdr:rowOff>
    </xdr:from>
    <xdr:to>
      <xdr:col>11</xdr:col>
      <xdr:colOff>509205</xdr:colOff>
      <xdr:row>14</xdr:row>
      <xdr:rowOff>60959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48CFCE7-DBF1-0999-EA91-746A10E7B4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163286</xdr:colOff>
      <xdr:row>0</xdr:row>
      <xdr:rowOff>24129</xdr:rowOff>
    </xdr:from>
    <xdr:to>
      <xdr:col>34</xdr:col>
      <xdr:colOff>449036</xdr:colOff>
      <xdr:row>46</xdr:row>
      <xdr:rowOff>68036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AE9639D-9FFC-4891-99D8-85D6A6AD87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59986" y="24129"/>
              <a:ext cx="12372975" cy="93879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114300</xdr:colOff>
      <xdr:row>22</xdr:row>
      <xdr:rowOff>76200</xdr:rowOff>
    </xdr:from>
    <xdr:to>
      <xdr:col>19</xdr:col>
      <xdr:colOff>213360</xdr:colOff>
      <xdr:row>31</xdr:row>
      <xdr:rowOff>3810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9EAD5C5D-CC86-4524-9FCC-C34939CA6DAF}"/>
            </a:ext>
          </a:extLst>
        </xdr:cNvPr>
        <xdr:cNvGrpSpPr/>
      </xdr:nvGrpSpPr>
      <xdr:grpSpPr>
        <a:xfrm>
          <a:off x="12230100" y="4991100"/>
          <a:ext cx="4842510" cy="1642110"/>
          <a:chOff x="0" y="0"/>
          <a:chExt cx="5024678" cy="1603248"/>
        </a:xfrm>
      </xdr:grpSpPr>
      <xdr:sp macro="" textlink="">
        <xdr:nvSpPr>
          <xdr:cNvPr id="3" name="Shape 233731">
            <a:extLst>
              <a:ext uri="{FF2B5EF4-FFF2-40B4-BE49-F238E27FC236}">
                <a16:creationId xmlns:a16="http://schemas.microsoft.com/office/drawing/2014/main" id="{3B048D5B-59C1-0EA1-D9C7-A258C2277CAD}"/>
              </a:ext>
            </a:extLst>
          </xdr:cNvPr>
          <xdr:cNvSpPr/>
        </xdr:nvSpPr>
        <xdr:spPr>
          <a:xfrm>
            <a:off x="1223391" y="3589"/>
            <a:ext cx="3304795" cy="1570482"/>
          </a:xfrm>
          <a:custGeom>
            <a:avLst/>
            <a:gdLst/>
            <a:ahLst/>
            <a:cxnLst/>
            <a:rect l="0" t="0" r="0" b="0"/>
            <a:pathLst>
              <a:path w="3304795" h="1570482">
                <a:moveTo>
                  <a:pt x="0" y="0"/>
                </a:moveTo>
                <a:lnTo>
                  <a:pt x="3304795" y="0"/>
                </a:lnTo>
                <a:lnTo>
                  <a:pt x="3304795" y="1570482"/>
                </a:lnTo>
                <a:lnTo>
                  <a:pt x="0" y="1570482"/>
                </a:lnTo>
                <a:lnTo>
                  <a:pt x="0" y="0"/>
                </a:lnTo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  <xdr:pic>
        <xdr:nvPicPr>
          <xdr:cNvPr id="4" name="Picture 3">
            <a:extLst>
              <a:ext uri="{FF2B5EF4-FFF2-40B4-BE49-F238E27FC236}">
                <a16:creationId xmlns:a16="http://schemas.microsoft.com/office/drawing/2014/main" id="{D8227E70-FCBE-3AF1-F212-830DCC215868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23010" y="3204"/>
            <a:ext cx="3305556" cy="1571244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965C178-A2CD-1B2C-C080-F65FE519396D}"/>
              </a:ext>
            </a:extLst>
          </xdr:cNvPr>
          <xdr:cNvSpPr/>
        </xdr:nvSpPr>
        <xdr:spPr>
          <a:xfrm>
            <a:off x="674370" y="691122"/>
            <a:ext cx="263421" cy="188986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H/L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C0693B01-4152-9C6D-C523-9D192610F761}"/>
              </a:ext>
            </a:extLst>
          </xdr:cNvPr>
          <xdr:cNvSpPr/>
        </xdr:nvSpPr>
        <xdr:spPr>
          <a:xfrm>
            <a:off x="871728" y="750924"/>
            <a:ext cx="60873" cy="122150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e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211DCC5D-464E-8A70-D56A-C29E83D23B96}"/>
              </a:ext>
            </a:extLst>
          </xdr:cNvPr>
          <xdr:cNvSpPr/>
        </xdr:nvSpPr>
        <xdr:spPr>
          <a:xfrm>
            <a:off x="1056132" y="0"/>
            <a:ext cx="211215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2.0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AC5B30B8-36AD-BA29-EAAF-2018C380E2E1}"/>
              </a:ext>
            </a:extLst>
          </xdr:cNvPr>
          <xdr:cNvSpPr/>
        </xdr:nvSpPr>
        <xdr:spPr>
          <a:xfrm>
            <a:off x="1056132" y="364960"/>
            <a:ext cx="211215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66B538D7-269A-FA50-0E2D-08F333F60476}"/>
              </a:ext>
            </a:extLst>
          </xdr:cNvPr>
          <xdr:cNvSpPr/>
        </xdr:nvSpPr>
        <xdr:spPr>
          <a:xfrm>
            <a:off x="1056132" y="744436"/>
            <a:ext cx="211215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4D1C91B3-ACAC-F6FE-BB74-00FAF63539F1}"/>
              </a:ext>
            </a:extLst>
          </xdr:cNvPr>
          <xdr:cNvSpPr/>
        </xdr:nvSpPr>
        <xdr:spPr>
          <a:xfrm>
            <a:off x="1056132" y="1109396"/>
            <a:ext cx="211215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30149F8-6A3F-CEE8-EBD7-BEDF50B78742}"/>
              </a:ext>
            </a:extLst>
          </xdr:cNvPr>
          <xdr:cNvSpPr/>
        </xdr:nvSpPr>
        <xdr:spPr>
          <a:xfrm>
            <a:off x="1151344" y="1459954"/>
            <a:ext cx="84523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749E25FC-0137-2A80-A500-4BA59A94B203}"/>
              </a:ext>
            </a:extLst>
          </xdr:cNvPr>
          <xdr:cNvSpPr/>
        </xdr:nvSpPr>
        <xdr:spPr>
          <a:xfrm>
            <a:off x="2474976" y="1162831"/>
            <a:ext cx="165246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0.4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F216EFD6-9C1B-EC4E-F714-ED9E6B133671}"/>
              </a:ext>
            </a:extLst>
          </xdr:cNvPr>
          <xdr:cNvSpPr/>
        </xdr:nvSpPr>
        <xdr:spPr>
          <a:xfrm>
            <a:off x="2474976" y="1341139"/>
            <a:ext cx="165246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0.6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273CC6A3-11DA-6CEC-39FE-5BF0052E1A8D}"/>
              </a:ext>
            </a:extLst>
          </xdr:cNvPr>
          <xdr:cNvSpPr/>
        </xdr:nvSpPr>
        <xdr:spPr>
          <a:xfrm>
            <a:off x="2474976" y="1519448"/>
            <a:ext cx="165234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08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2C1CECDE-F5D5-5E36-A19F-9DF5F6866F63}"/>
              </a:ext>
            </a:extLst>
          </xdr:cNvPr>
          <xdr:cNvSpPr/>
        </xdr:nvSpPr>
        <xdr:spPr>
          <a:xfrm>
            <a:off x="4781550" y="924295"/>
            <a:ext cx="263421" cy="188986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H/L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6C6B1158-C816-B854-A790-0C6E7CA6E28C}"/>
              </a:ext>
            </a:extLst>
          </xdr:cNvPr>
          <xdr:cNvSpPr/>
        </xdr:nvSpPr>
        <xdr:spPr>
          <a:xfrm>
            <a:off x="4978908" y="984097"/>
            <a:ext cx="60873" cy="122150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e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2516B530-F0FB-25A5-F533-9279070383F9}"/>
              </a:ext>
            </a:extLst>
          </xdr:cNvPr>
          <xdr:cNvSpPr/>
        </xdr:nvSpPr>
        <xdr:spPr>
          <a:xfrm>
            <a:off x="4699087" y="35053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EEE2DD11-1C7E-CCD1-74EF-08155184B371}"/>
              </a:ext>
            </a:extLst>
          </xdr:cNvPr>
          <xdr:cNvSpPr/>
        </xdr:nvSpPr>
        <xdr:spPr>
          <a:xfrm>
            <a:off x="4540758" y="35053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2.0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60F12AE5-D4A5-923D-E7B3-CB6856D4FAE8}"/>
              </a:ext>
            </a:extLst>
          </xdr:cNvPr>
          <xdr:cNvSpPr/>
        </xdr:nvSpPr>
        <xdr:spPr>
          <a:xfrm>
            <a:off x="4540758" y="166841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C1DB7B9A-EB77-E4A9-07CD-477C64FA02AD}"/>
              </a:ext>
            </a:extLst>
          </xdr:cNvPr>
          <xdr:cNvSpPr/>
        </xdr:nvSpPr>
        <xdr:spPr>
          <a:xfrm>
            <a:off x="4540758" y="292627"/>
            <a:ext cx="32964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E37C2C60-22CA-BCBD-25ED-46DD5DCB3ABF}"/>
              </a:ext>
            </a:extLst>
          </xdr:cNvPr>
          <xdr:cNvSpPr/>
        </xdr:nvSpPr>
        <xdr:spPr>
          <a:xfrm>
            <a:off x="4540758" y="400050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BA475711-FA23-5046-9C3F-0FFA062D241B}"/>
              </a:ext>
            </a:extLst>
          </xdr:cNvPr>
          <xdr:cNvSpPr/>
        </xdr:nvSpPr>
        <xdr:spPr>
          <a:xfrm>
            <a:off x="4699087" y="400050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2042F27A-187D-0EA8-0847-7FD4449450C9}"/>
              </a:ext>
            </a:extLst>
          </xdr:cNvPr>
          <xdr:cNvSpPr/>
        </xdr:nvSpPr>
        <xdr:spPr>
          <a:xfrm>
            <a:off x="4540758" y="529115"/>
            <a:ext cx="37472" cy="126695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8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40D25EF-82A4-6C91-58F0-1DB25E1C9AC7}"/>
              </a:ext>
            </a:extLst>
          </xdr:cNvPr>
          <xdr:cNvSpPr/>
        </xdr:nvSpPr>
        <xdr:spPr>
          <a:xfrm>
            <a:off x="4540758" y="648462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E2C3819E-9150-3B64-DEFD-8E52307ABD06}"/>
              </a:ext>
            </a:extLst>
          </xdr:cNvPr>
          <xdr:cNvSpPr/>
        </xdr:nvSpPr>
        <xdr:spPr>
          <a:xfrm>
            <a:off x="4540758" y="780250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B5A8677E-0845-5FEC-0151-1584728EEFB8}"/>
              </a:ext>
            </a:extLst>
          </xdr:cNvPr>
          <xdr:cNvSpPr/>
        </xdr:nvSpPr>
        <xdr:spPr>
          <a:xfrm>
            <a:off x="4699087" y="780250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E73703C6-3A98-73C8-0664-F44F5E5254A7}"/>
              </a:ext>
            </a:extLst>
          </xdr:cNvPr>
          <xdr:cNvSpPr/>
        </xdr:nvSpPr>
        <xdr:spPr>
          <a:xfrm>
            <a:off x="4540758" y="906038"/>
            <a:ext cx="32964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327C0BD2-7F2B-CA47-6664-4B9DB8F000DE}"/>
              </a:ext>
            </a:extLst>
          </xdr:cNvPr>
          <xdr:cNvSpPr/>
        </xdr:nvSpPr>
        <xdr:spPr>
          <a:xfrm>
            <a:off x="4540758" y="1013461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828BF2E9-699E-0153-6279-D8CDBE8439D0}"/>
              </a:ext>
            </a:extLst>
          </xdr:cNvPr>
          <xdr:cNvSpPr/>
        </xdr:nvSpPr>
        <xdr:spPr>
          <a:xfrm>
            <a:off x="4540758" y="1145249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DD3A2122-449E-5CDA-46A8-8E8694120DB3}"/>
              </a:ext>
            </a:extLst>
          </xdr:cNvPr>
          <xdr:cNvSpPr/>
        </xdr:nvSpPr>
        <xdr:spPr>
          <a:xfrm>
            <a:off x="4699087" y="1145249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D79D84B0-03F5-8BA3-C341-E443CDFB9A1E}"/>
              </a:ext>
            </a:extLst>
          </xdr:cNvPr>
          <xdr:cNvSpPr/>
        </xdr:nvSpPr>
        <xdr:spPr>
          <a:xfrm>
            <a:off x="4540758" y="1276351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4A99A5A2-58FD-72CB-9393-E9D962431309}"/>
              </a:ext>
            </a:extLst>
          </xdr:cNvPr>
          <xdr:cNvSpPr/>
        </xdr:nvSpPr>
        <xdr:spPr>
          <a:xfrm>
            <a:off x="4540758" y="1400101"/>
            <a:ext cx="28174" cy="9525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0CFF1DD9-E59B-0373-DF1E-DBA3CB306E16}"/>
              </a:ext>
            </a:extLst>
          </xdr:cNvPr>
          <xdr:cNvSpPr/>
        </xdr:nvSpPr>
        <xdr:spPr>
          <a:xfrm>
            <a:off x="4540758" y="1495807"/>
            <a:ext cx="84523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57B2C90C-BFDA-E02C-6B22-883E8E85D396}"/>
              </a:ext>
            </a:extLst>
          </xdr:cNvPr>
          <xdr:cNvSpPr/>
        </xdr:nvSpPr>
        <xdr:spPr>
          <a:xfrm>
            <a:off x="4603989" y="1495807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D43FF312-3D80-F5DC-F8BE-F5C40125AEFF}"/>
              </a:ext>
            </a:extLst>
          </xdr:cNvPr>
          <xdr:cNvSpPr/>
        </xdr:nvSpPr>
        <xdr:spPr>
          <a:xfrm>
            <a:off x="0" y="69761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92F9B594-0EED-DB3C-6000-96C38BA21B55}"/>
              </a:ext>
            </a:extLst>
          </xdr:cNvPr>
          <xdr:cNvSpPr/>
        </xdr:nvSpPr>
        <xdr:spPr>
          <a:xfrm>
            <a:off x="0" y="292262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C8E8E58D-CCB1-763B-C0C1-7709F11FB827}"/>
              </a:ext>
            </a:extLst>
          </xdr:cNvPr>
          <xdr:cNvSpPr/>
        </xdr:nvSpPr>
        <xdr:spPr>
          <a:xfrm>
            <a:off x="0" y="514763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8" name="Rectangle 37">
            <a:extLst>
              <a:ext uri="{FF2B5EF4-FFF2-40B4-BE49-F238E27FC236}">
                <a16:creationId xmlns:a16="http://schemas.microsoft.com/office/drawing/2014/main" id="{47944C41-061B-F78C-2ED2-777605F660A2}"/>
              </a:ext>
            </a:extLst>
          </xdr:cNvPr>
          <xdr:cNvSpPr/>
        </xdr:nvSpPr>
        <xdr:spPr>
          <a:xfrm>
            <a:off x="0" y="736498"/>
            <a:ext cx="47077" cy="15917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9" name="Rectangle 38">
            <a:extLst>
              <a:ext uri="{FF2B5EF4-FFF2-40B4-BE49-F238E27FC236}">
                <a16:creationId xmlns:a16="http://schemas.microsoft.com/office/drawing/2014/main" id="{9E6B1BA3-C671-4B8F-758B-112E1EF5945E}"/>
              </a:ext>
            </a:extLst>
          </xdr:cNvPr>
          <xdr:cNvSpPr/>
        </xdr:nvSpPr>
        <xdr:spPr>
          <a:xfrm>
            <a:off x="0" y="959000"/>
            <a:ext cx="47077" cy="15917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0" name="Rectangle 39">
            <a:extLst>
              <a:ext uri="{FF2B5EF4-FFF2-40B4-BE49-F238E27FC236}">
                <a16:creationId xmlns:a16="http://schemas.microsoft.com/office/drawing/2014/main" id="{787419D2-DCD2-2E19-D6C8-8FC4A14F9490}"/>
              </a:ext>
            </a:extLst>
          </xdr:cNvPr>
          <xdr:cNvSpPr/>
        </xdr:nvSpPr>
        <xdr:spPr>
          <a:xfrm>
            <a:off x="0" y="1181500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1" name="Rectangle 40">
            <a:extLst>
              <a:ext uri="{FF2B5EF4-FFF2-40B4-BE49-F238E27FC236}">
                <a16:creationId xmlns:a16="http://schemas.microsoft.com/office/drawing/2014/main" id="{81604582-7A55-8AF7-AB6C-F235FF1696FC}"/>
              </a:ext>
            </a:extLst>
          </xdr:cNvPr>
          <xdr:cNvSpPr/>
        </xdr:nvSpPr>
        <xdr:spPr>
          <a:xfrm>
            <a:off x="0" y="1403237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11</xdr:col>
      <xdr:colOff>480060</xdr:colOff>
      <xdr:row>39</xdr:row>
      <xdr:rowOff>137160</xdr:rowOff>
    </xdr:from>
    <xdr:to>
      <xdr:col>19</xdr:col>
      <xdr:colOff>244475</xdr:colOff>
      <xdr:row>48</xdr:row>
      <xdr:rowOff>13970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DD26B42D-4896-49DF-A53B-E47060832187}"/>
            </a:ext>
          </a:extLst>
        </xdr:cNvPr>
        <xdr:cNvGrpSpPr/>
      </xdr:nvGrpSpPr>
      <xdr:grpSpPr>
        <a:xfrm>
          <a:off x="11986260" y="8338185"/>
          <a:ext cx="5117465" cy="1762760"/>
          <a:chOff x="0" y="0"/>
          <a:chExt cx="5144311" cy="1522818"/>
        </a:xfrm>
      </xdr:grpSpPr>
      <xdr:sp macro="" textlink="">
        <xdr:nvSpPr>
          <xdr:cNvPr id="43" name="Shape 233733">
            <a:extLst>
              <a:ext uri="{FF2B5EF4-FFF2-40B4-BE49-F238E27FC236}">
                <a16:creationId xmlns:a16="http://schemas.microsoft.com/office/drawing/2014/main" id="{225D0C51-929E-4956-3316-5B94172A3380}"/>
              </a:ext>
            </a:extLst>
          </xdr:cNvPr>
          <xdr:cNvSpPr/>
        </xdr:nvSpPr>
        <xdr:spPr>
          <a:xfrm>
            <a:off x="1413891" y="1646"/>
            <a:ext cx="3208782" cy="1507998"/>
          </a:xfrm>
          <a:custGeom>
            <a:avLst/>
            <a:gdLst/>
            <a:ahLst/>
            <a:cxnLst/>
            <a:rect l="0" t="0" r="0" b="0"/>
            <a:pathLst>
              <a:path w="3208782" h="1507998">
                <a:moveTo>
                  <a:pt x="0" y="0"/>
                </a:moveTo>
                <a:lnTo>
                  <a:pt x="3208782" y="0"/>
                </a:lnTo>
                <a:lnTo>
                  <a:pt x="3208782" y="1507998"/>
                </a:lnTo>
                <a:lnTo>
                  <a:pt x="0" y="1507998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000000"/>
          </a:fillRef>
          <a:effectRef idx="0">
            <a:scrgbClr r="0" g="0" b="0"/>
          </a:effectRef>
          <a:fontRef idx="none"/>
        </xdr:style>
        <xdr:txBody>
          <a:bodyPr/>
          <a:lstStyle/>
          <a:p>
            <a:endParaRPr lang="en-IN"/>
          </a:p>
        </xdr:txBody>
      </xdr:sp>
      <xdr:pic>
        <xdr:nvPicPr>
          <xdr:cNvPr id="44" name="Picture 43">
            <a:extLst>
              <a:ext uri="{FF2B5EF4-FFF2-40B4-BE49-F238E27FC236}">
                <a16:creationId xmlns:a16="http://schemas.microsoft.com/office/drawing/2014/main" id="{E4494E5C-4F09-53E9-2904-FABE1B7C45B9}"/>
              </a:ext>
            </a:extLst>
          </xdr:cNvPr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413510" y="1261"/>
            <a:ext cx="3209544" cy="1508760"/>
          </a:xfrm>
          <a:prstGeom prst="rect">
            <a:avLst/>
          </a:prstGeom>
        </xdr:spPr>
      </xdr:pic>
      <xdr:sp macro="" textlink="">
        <xdr:nvSpPr>
          <xdr:cNvPr id="45" name="Rectangle 44">
            <a:extLst>
              <a:ext uri="{FF2B5EF4-FFF2-40B4-BE49-F238E27FC236}">
                <a16:creationId xmlns:a16="http://schemas.microsoft.com/office/drawing/2014/main" id="{443B9525-596A-893B-818C-8D8FA71E9BD5}"/>
              </a:ext>
            </a:extLst>
          </xdr:cNvPr>
          <xdr:cNvSpPr/>
        </xdr:nvSpPr>
        <xdr:spPr>
          <a:xfrm>
            <a:off x="802386" y="610694"/>
            <a:ext cx="263421" cy="188987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H/L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6" name="Rectangle 45">
            <a:extLst>
              <a:ext uri="{FF2B5EF4-FFF2-40B4-BE49-F238E27FC236}">
                <a16:creationId xmlns:a16="http://schemas.microsoft.com/office/drawing/2014/main" id="{CA325383-16BA-A2C3-45F6-3C7EC3F92B75}"/>
              </a:ext>
            </a:extLst>
          </xdr:cNvPr>
          <xdr:cNvSpPr/>
        </xdr:nvSpPr>
        <xdr:spPr>
          <a:xfrm>
            <a:off x="999744" y="670496"/>
            <a:ext cx="60873" cy="122150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e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7" name="Rectangle 46">
            <a:extLst>
              <a:ext uri="{FF2B5EF4-FFF2-40B4-BE49-F238E27FC236}">
                <a16:creationId xmlns:a16="http://schemas.microsoft.com/office/drawing/2014/main" id="{FCBA8B7C-44BD-A34E-CA11-36FDE0103DF9}"/>
              </a:ext>
            </a:extLst>
          </xdr:cNvPr>
          <xdr:cNvSpPr/>
        </xdr:nvSpPr>
        <xdr:spPr>
          <a:xfrm>
            <a:off x="1226058" y="9488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2.0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8" name="Rectangle 47">
            <a:extLst>
              <a:ext uri="{FF2B5EF4-FFF2-40B4-BE49-F238E27FC236}">
                <a16:creationId xmlns:a16="http://schemas.microsoft.com/office/drawing/2014/main" id="{E70202F6-8239-E177-58AC-88BECA30C263}"/>
              </a:ext>
            </a:extLst>
          </xdr:cNvPr>
          <xdr:cNvSpPr/>
        </xdr:nvSpPr>
        <xdr:spPr>
          <a:xfrm>
            <a:off x="1384386" y="9488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9" name="Rectangle 48">
            <a:extLst>
              <a:ext uri="{FF2B5EF4-FFF2-40B4-BE49-F238E27FC236}">
                <a16:creationId xmlns:a16="http://schemas.microsoft.com/office/drawing/2014/main" id="{F7779FF3-C6A2-F21D-1B7B-56900F6C81F6}"/>
              </a:ext>
            </a:extLst>
          </xdr:cNvPr>
          <xdr:cNvSpPr/>
        </xdr:nvSpPr>
        <xdr:spPr>
          <a:xfrm>
            <a:off x="1384554" y="127160"/>
            <a:ext cx="18877" cy="63824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4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0" name="Rectangle 49">
            <a:extLst>
              <a:ext uri="{FF2B5EF4-FFF2-40B4-BE49-F238E27FC236}">
                <a16:creationId xmlns:a16="http://schemas.microsoft.com/office/drawing/2014/main" id="{0ABD9798-6B79-E7E1-2DB5-AE417CE47629}"/>
              </a:ext>
            </a:extLst>
          </xdr:cNvPr>
          <xdr:cNvSpPr/>
        </xdr:nvSpPr>
        <xdr:spPr>
          <a:xfrm>
            <a:off x="1384554" y="199225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37DA19C1-DDDE-9CB7-6358-F7B1F872E4FF}"/>
              </a:ext>
            </a:extLst>
          </xdr:cNvPr>
          <xdr:cNvSpPr/>
        </xdr:nvSpPr>
        <xdr:spPr>
          <a:xfrm>
            <a:off x="1226054" y="330293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1077A874-5BE9-E1AE-0A23-137FE898B112}"/>
              </a:ext>
            </a:extLst>
          </xdr:cNvPr>
          <xdr:cNvSpPr/>
        </xdr:nvSpPr>
        <xdr:spPr>
          <a:xfrm>
            <a:off x="1384383" y="330293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3" name="Rectangle 52">
            <a:extLst>
              <a:ext uri="{FF2B5EF4-FFF2-40B4-BE49-F238E27FC236}">
                <a16:creationId xmlns:a16="http://schemas.microsoft.com/office/drawing/2014/main" id="{CD863F0C-67D9-3582-09D1-C79419630DF0}"/>
              </a:ext>
            </a:extLst>
          </xdr:cNvPr>
          <xdr:cNvSpPr/>
        </xdr:nvSpPr>
        <xdr:spPr>
          <a:xfrm>
            <a:off x="1384554" y="462115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4" name="Rectangle 53">
            <a:extLst>
              <a:ext uri="{FF2B5EF4-FFF2-40B4-BE49-F238E27FC236}">
                <a16:creationId xmlns:a16="http://schemas.microsoft.com/office/drawing/2014/main" id="{1C9DC9C5-E340-6D99-60A7-18FA6951C19B}"/>
              </a:ext>
            </a:extLst>
          </xdr:cNvPr>
          <xdr:cNvSpPr/>
        </xdr:nvSpPr>
        <xdr:spPr>
          <a:xfrm>
            <a:off x="1384554" y="587864"/>
            <a:ext cx="32964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B21BBE56-B608-7FB4-2A91-C34BD1888E8F}"/>
              </a:ext>
            </a:extLst>
          </xdr:cNvPr>
          <xdr:cNvSpPr/>
        </xdr:nvSpPr>
        <xdr:spPr>
          <a:xfrm>
            <a:off x="1226058" y="695288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41456627-32C9-CF49-EE42-662FA1DA22A7}"/>
              </a:ext>
            </a:extLst>
          </xdr:cNvPr>
          <xdr:cNvSpPr/>
        </xdr:nvSpPr>
        <xdr:spPr>
          <a:xfrm>
            <a:off x="1384386" y="695288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7" name="Rectangle 56">
            <a:extLst>
              <a:ext uri="{FF2B5EF4-FFF2-40B4-BE49-F238E27FC236}">
                <a16:creationId xmlns:a16="http://schemas.microsoft.com/office/drawing/2014/main" id="{4F5ECCA8-0D1E-8D2C-20CB-9F2BCDAA6EDC}"/>
              </a:ext>
            </a:extLst>
          </xdr:cNvPr>
          <xdr:cNvSpPr/>
        </xdr:nvSpPr>
        <xdr:spPr>
          <a:xfrm>
            <a:off x="1384558" y="827110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8" name="Rectangle 57">
            <a:extLst>
              <a:ext uri="{FF2B5EF4-FFF2-40B4-BE49-F238E27FC236}">
                <a16:creationId xmlns:a16="http://schemas.microsoft.com/office/drawing/2014/main" id="{CB8FFE60-B46A-EE5A-4BF9-E7285A14A3AC}"/>
              </a:ext>
            </a:extLst>
          </xdr:cNvPr>
          <xdr:cNvSpPr/>
        </xdr:nvSpPr>
        <xdr:spPr>
          <a:xfrm>
            <a:off x="1384554" y="955417"/>
            <a:ext cx="37472" cy="126695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8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9" name="Rectangle 58">
            <a:extLst>
              <a:ext uri="{FF2B5EF4-FFF2-40B4-BE49-F238E27FC236}">
                <a16:creationId xmlns:a16="http://schemas.microsoft.com/office/drawing/2014/main" id="{7534D85F-BFC4-4DA4-6F13-073B703369D3}"/>
              </a:ext>
            </a:extLst>
          </xdr:cNvPr>
          <xdr:cNvSpPr/>
        </xdr:nvSpPr>
        <xdr:spPr>
          <a:xfrm>
            <a:off x="1384386" y="1075525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0" name="Rectangle 59">
            <a:extLst>
              <a:ext uri="{FF2B5EF4-FFF2-40B4-BE49-F238E27FC236}">
                <a16:creationId xmlns:a16="http://schemas.microsoft.com/office/drawing/2014/main" id="{AAB53E90-1751-A7A3-C823-A8B1BBD3B23F}"/>
              </a:ext>
            </a:extLst>
          </xdr:cNvPr>
          <xdr:cNvSpPr/>
        </xdr:nvSpPr>
        <xdr:spPr>
          <a:xfrm>
            <a:off x="1226058" y="1075525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1" name="Rectangle 60">
            <a:extLst>
              <a:ext uri="{FF2B5EF4-FFF2-40B4-BE49-F238E27FC236}">
                <a16:creationId xmlns:a16="http://schemas.microsoft.com/office/drawing/2014/main" id="{CF6132EB-68E1-71D3-A148-6F1CC682292C}"/>
              </a:ext>
            </a:extLst>
          </xdr:cNvPr>
          <xdr:cNvSpPr/>
        </xdr:nvSpPr>
        <xdr:spPr>
          <a:xfrm>
            <a:off x="1384558" y="1206593"/>
            <a:ext cx="42261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2" name="Rectangle 61">
            <a:extLst>
              <a:ext uri="{FF2B5EF4-FFF2-40B4-BE49-F238E27FC236}">
                <a16:creationId xmlns:a16="http://schemas.microsoft.com/office/drawing/2014/main" id="{581AD45A-5FAD-28AE-D9DA-FFF72AD52D10}"/>
              </a:ext>
            </a:extLst>
          </xdr:cNvPr>
          <xdr:cNvSpPr/>
        </xdr:nvSpPr>
        <xdr:spPr>
          <a:xfrm>
            <a:off x="2594610" y="1082402"/>
            <a:ext cx="165246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0.4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3" name="Rectangle 62">
            <a:extLst>
              <a:ext uri="{FF2B5EF4-FFF2-40B4-BE49-F238E27FC236}">
                <a16:creationId xmlns:a16="http://schemas.microsoft.com/office/drawing/2014/main" id="{53583F53-9FB3-D330-6C6C-B9C3A0AF9DDA}"/>
              </a:ext>
            </a:extLst>
          </xdr:cNvPr>
          <xdr:cNvSpPr/>
        </xdr:nvSpPr>
        <xdr:spPr>
          <a:xfrm>
            <a:off x="2594610" y="1260710"/>
            <a:ext cx="165246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0.6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4" name="Rectangle 63">
            <a:extLst>
              <a:ext uri="{FF2B5EF4-FFF2-40B4-BE49-F238E27FC236}">
                <a16:creationId xmlns:a16="http://schemas.microsoft.com/office/drawing/2014/main" id="{EAFD9DD7-C222-5AB4-242C-231EDA80C08F}"/>
              </a:ext>
            </a:extLst>
          </xdr:cNvPr>
          <xdr:cNvSpPr/>
        </xdr:nvSpPr>
        <xdr:spPr>
          <a:xfrm>
            <a:off x="2594610" y="1439018"/>
            <a:ext cx="165234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08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5" name="Rectangle 64">
            <a:extLst>
              <a:ext uri="{FF2B5EF4-FFF2-40B4-BE49-F238E27FC236}">
                <a16:creationId xmlns:a16="http://schemas.microsoft.com/office/drawing/2014/main" id="{9779BD3C-8D1D-C26B-4B16-F80F14180E3B}"/>
              </a:ext>
            </a:extLst>
          </xdr:cNvPr>
          <xdr:cNvSpPr/>
        </xdr:nvSpPr>
        <xdr:spPr>
          <a:xfrm>
            <a:off x="4626102" y="16346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2.0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2EFC7BD0-DE2C-7BC5-1A2F-E3F0BBD07ED3}"/>
              </a:ext>
            </a:extLst>
          </xdr:cNvPr>
          <xdr:cNvSpPr/>
        </xdr:nvSpPr>
        <xdr:spPr>
          <a:xfrm>
            <a:off x="4784431" y="16346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7" name="Rectangle 66">
            <a:extLst>
              <a:ext uri="{FF2B5EF4-FFF2-40B4-BE49-F238E27FC236}">
                <a16:creationId xmlns:a16="http://schemas.microsoft.com/office/drawing/2014/main" id="{EDE9DA23-EAFE-C9CF-760E-57CE320F8E4B}"/>
              </a:ext>
            </a:extLst>
          </xdr:cNvPr>
          <xdr:cNvSpPr/>
        </xdr:nvSpPr>
        <xdr:spPr>
          <a:xfrm>
            <a:off x="4784599" y="134018"/>
            <a:ext cx="18877" cy="63824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4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7C009E5C-3F4E-1388-C47A-FAA505C184A1}"/>
              </a:ext>
            </a:extLst>
          </xdr:cNvPr>
          <xdr:cNvSpPr/>
        </xdr:nvSpPr>
        <xdr:spPr>
          <a:xfrm>
            <a:off x="4784599" y="206084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238AFEC7-702C-36A4-EF1C-2761BD36EAE6}"/>
              </a:ext>
            </a:extLst>
          </xdr:cNvPr>
          <xdr:cNvSpPr/>
        </xdr:nvSpPr>
        <xdr:spPr>
          <a:xfrm>
            <a:off x="4626098" y="337152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7BCD58C6-348D-632D-4B08-3958FC3344BB}"/>
              </a:ext>
            </a:extLst>
          </xdr:cNvPr>
          <xdr:cNvSpPr/>
        </xdr:nvSpPr>
        <xdr:spPr>
          <a:xfrm>
            <a:off x="4784427" y="337152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110AD3F2-33C5-3A2D-AD4D-27E25F235376}"/>
              </a:ext>
            </a:extLst>
          </xdr:cNvPr>
          <xdr:cNvSpPr/>
        </xdr:nvSpPr>
        <xdr:spPr>
          <a:xfrm>
            <a:off x="4784599" y="468974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2" name="Rectangle 71">
            <a:extLst>
              <a:ext uri="{FF2B5EF4-FFF2-40B4-BE49-F238E27FC236}">
                <a16:creationId xmlns:a16="http://schemas.microsoft.com/office/drawing/2014/main" id="{A1A50575-5171-211E-30AC-E15C34668EEF}"/>
              </a:ext>
            </a:extLst>
          </xdr:cNvPr>
          <xdr:cNvSpPr/>
        </xdr:nvSpPr>
        <xdr:spPr>
          <a:xfrm>
            <a:off x="4784599" y="594722"/>
            <a:ext cx="32964" cy="111453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7B1C45B3-2B13-EB06-1226-FE31F7964E0D}"/>
              </a:ext>
            </a:extLst>
          </xdr:cNvPr>
          <xdr:cNvSpPr/>
        </xdr:nvSpPr>
        <xdr:spPr>
          <a:xfrm>
            <a:off x="4626102" y="702908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4" name="Rectangle 73">
            <a:extLst>
              <a:ext uri="{FF2B5EF4-FFF2-40B4-BE49-F238E27FC236}">
                <a16:creationId xmlns:a16="http://schemas.microsoft.com/office/drawing/2014/main" id="{D7A10CDA-CA66-FEE5-05A7-8655D0EAEC02}"/>
              </a:ext>
            </a:extLst>
          </xdr:cNvPr>
          <xdr:cNvSpPr/>
        </xdr:nvSpPr>
        <xdr:spPr>
          <a:xfrm>
            <a:off x="4784431" y="702908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5" name="Rectangle 74">
            <a:extLst>
              <a:ext uri="{FF2B5EF4-FFF2-40B4-BE49-F238E27FC236}">
                <a16:creationId xmlns:a16="http://schemas.microsoft.com/office/drawing/2014/main" id="{7F627D7D-8464-8D3F-6132-787EDD000E24}"/>
              </a:ext>
            </a:extLst>
          </xdr:cNvPr>
          <xdr:cNvSpPr/>
        </xdr:nvSpPr>
        <xdr:spPr>
          <a:xfrm>
            <a:off x="4784602" y="833975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C50E822C-B15E-DE27-CF4E-322C361D610B}"/>
              </a:ext>
            </a:extLst>
          </xdr:cNvPr>
          <xdr:cNvSpPr/>
        </xdr:nvSpPr>
        <xdr:spPr>
          <a:xfrm>
            <a:off x="4784599" y="963037"/>
            <a:ext cx="37472" cy="126695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8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7" name="Rectangle 76">
            <a:extLst>
              <a:ext uri="{FF2B5EF4-FFF2-40B4-BE49-F238E27FC236}">
                <a16:creationId xmlns:a16="http://schemas.microsoft.com/office/drawing/2014/main" id="{9A00E315-3C31-F36A-8540-3BB125DEE553}"/>
              </a:ext>
            </a:extLst>
          </xdr:cNvPr>
          <xdr:cNvSpPr/>
        </xdr:nvSpPr>
        <xdr:spPr>
          <a:xfrm>
            <a:off x="4626102" y="1082382"/>
            <a:ext cx="210820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8" name="Rectangle 77">
            <a:extLst>
              <a:ext uri="{FF2B5EF4-FFF2-40B4-BE49-F238E27FC236}">
                <a16:creationId xmlns:a16="http://schemas.microsoft.com/office/drawing/2014/main" id="{0CE85A87-1017-7481-7E1F-B9A4EB4F983D}"/>
              </a:ext>
            </a:extLst>
          </xdr:cNvPr>
          <xdr:cNvSpPr/>
        </xdr:nvSpPr>
        <xdr:spPr>
          <a:xfrm>
            <a:off x="4784431" y="1082382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3682F567-F3CB-F1D8-0177-A90017B9680C}"/>
              </a:ext>
            </a:extLst>
          </xdr:cNvPr>
          <xdr:cNvSpPr/>
        </xdr:nvSpPr>
        <xdr:spPr>
          <a:xfrm>
            <a:off x="4784602" y="1213450"/>
            <a:ext cx="42262" cy="142889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9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2388AB76-5083-FEC3-63FF-9D7116FF549D}"/>
              </a:ext>
            </a:extLst>
          </xdr:cNvPr>
          <xdr:cNvSpPr/>
        </xdr:nvSpPr>
        <xdr:spPr>
          <a:xfrm>
            <a:off x="0" y="0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94417932-B3B7-2C54-6DA6-7E4DE4FAA4BA}"/>
              </a:ext>
            </a:extLst>
          </xdr:cNvPr>
          <xdr:cNvSpPr/>
        </xdr:nvSpPr>
        <xdr:spPr>
          <a:xfrm>
            <a:off x="0" y="221737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54D0EB59-0C51-5D90-841C-AAF1AEAA3B6C}"/>
              </a:ext>
            </a:extLst>
          </xdr:cNvPr>
          <xdr:cNvSpPr/>
        </xdr:nvSpPr>
        <xdr:spPr>
          <a:xfrm>
            <a:off x="0" y="444238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4459FBFE-57FA-2181-517A-FD48BEA808AA}"/>
              </a:ext>
            </a:extLst>
          </xdr:cNvPr>
          <xdr:cNvSpPr/>
        </xdr:nvSpPr>
        <xdr:spPr>
          <a:xfrm>
            <a:off x="0" y="666738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9EED6E3F-E9C5-87F7-5105-31F25062495C}"/>
              </a:ext>
            </a:extLst>
          </xdr:cNvPr>
          <xdr:cNvSpPr/>
        </xdr:nvSpPr>
        <xdr:spPr>
          <a:xfrm>
            <a:off x="4901184" y="699085"/>
            <a:ext cx="263421" cy="188987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H/L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88C23894-512D-5FBD-513B-AFC4C7320618}"/>
              </a:ext>
            </a:extLst>
          </xdr:cNvPr>
          <xdr:cNvSpPr/>
        </xdr:nvSpPr>
        <xdr:spPr>
          <a:xfrm>
            <a:off x="5098542" y="758887"/>
            <a:ext cx="60873" cy="122150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e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2329F72B-A643-57C2-9D3F-5FF321ABB305}"/>
              </a:ext>
            </a:extLst>
          </xdr:cNvPr>
          <xdr:cNvSpPr/>
        </xdr:nvSpPr>
        <xdr:spPr>
          <a:xfrm>
            <a:off x="0" y="888475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7" name="Rectangle 86">
            <a:extLst>
              <a:ext uri="{FF2B5EF4-FFF2-40B4-BE49-F238E27FC236}">
                <a16:creationId xmlns:a16="http://schemas.microsoft.com/office/drawing/2014/main" id="{B22EA597-EB45-1157-80FC-B54013F56EF6}"/>
              </a:ext>
            </a:extLst>
          </xdr:cNvPr>
          <xdr:cNvSpPr/>
        </xdr:nvSpPr>
        <xdr:spPr>
          <a:xfrm>
            <a:off x="0" y="1110976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8" name="Rectangle 87">
            <a:extLst>
              <a:ext uri="{FF2B5EF4-FFF2-40B4-BE49-F238E27FC236}">
                <a16:creationId xmlns:a16="http://schemas.microsoft.com/office/drawing/2014/main" id="{422252A2-C93D-D7B9-8D1B-03164157AFEA}"/>
              </a:ext>
            </a:extLst>
          </xdr:cNvPr>
          <xdr:cNvSpPr/>
        </xdr:nvSpPr>
        <xdr:spPr>
          <a:xfrm>
            <a:off x="0" y="1333476"/>
            <a:ext cx="47077" cy="159172"/>
          </a:xfrm>
          <a:prstGeom prst="rect">
            <a:avLst/>
          </a:prstGeom>
          <a:ln>
            <a:noFill/>
          </a:ln>
        </xdr:spPr>
        <xdr:txBody>
          <a:bodyPr vert="horz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1836420</xdr:colOff>
      <xdr:row>50</xdr:row>
      <xdr:rowOff>31750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4B3AEB1-898E-4D25-B350-AB42F9F65607}"/>
            </a:ext>
          </a:extLst>
        </xdr:cNvPr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484620"/>
          <a:ext cx="4739640" cy="59372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83820</xdr:colOff>
      <xdr:row>23</xdr:row>
      <xdr:rowOff>160020</xdr:rowOff>
    </xdr:from>
    <xdr:to>
      <xdr:col>13</xdr:col>
      <xdr:colOff>388620</xdr:colOff>
      <xdr:row>38</xdr:row>
      <xdr:rowOff>160020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FAE313D-27AA-CEBF-E9AA-917AE5EC9E5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020" y="4541520"/>
              <a:ext cx="4572000" cy="2857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401955</xdr:colOff>
      <xdr:row>1</xdr:row>
      <xdr:rowOff>99060</xdr:rowOff>
    </xdr:from>
    <xdr:to>
      <xdr:col>17</xdr:col>
      <xdr:colOff>333296</xdr:colOff>
      <xdr:row>16</xdr:row>
      <xdr:rowOff>72863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3B43576-1173-456F-BEB3-69116F99CB46}"/>
            </a:ext>
          </a:extLst>
        </xdr:cNvPr>
        <xdr:cNvGrpSpPr/>
      </xdr:nvGrpSpPr>
      <xdr:grpSpPr>
        <a:xfrm>
          <a:off x="5916930" y="289560"/>
          <a:ext cx="4808141" cy="3031328"/>
          <a:chOff x="0" y="0"/>
          <a:chExt cx="4808539" cy="2717089"/>
        </a:xfrm>
      </xdr:grpSpPr>
      <xdr:sp macro="" textlink="">
        <xdr:nvSpPr>
          <xdr:cNvPr id="3" name="Rectangle 2">
            <a:extLst>
              <a:ext uri="{FF2B5EF4-FFF2-40B4-BE49-F238E27FC236}">
                <a16:creationId xmlns:a16="http://schemas.microsoft.com/office/drawing/2014/main" id="{8C7F1708-356A-DCA0-73B8-C92AA11867C1}"/>
              </a:ext>
            </a:extLst>
          </xdr:cNvPr>
          <xdr:cNvSpPr/>
        </xdr:nvSpPr>
        <xdr:spPr>
          <a:xfrm>
            <a:off x="501451" y="6418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4" name="Rectangle 3">
            <a:extLst>
              <a:ext uri="{FF2B5EF4-FFF2-40B4-BE49-F238E27FC236}">
                <a16:creationId xmlns:a16="http://schemas.microsoft.com/office/drawing/2014/main" id="{C13301F5-A22C-79DF-917F-2332CD04313F}"/>
              </a:ext>
            </a:extLst>
          </xdr:cNvPr>
          <xdr:cNvSpPr/>
        </xdr:nvSpPr>
        <xdr:spPr>
          <a:xfrm>
            <a:off x="324606" y="6418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3.0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6605F5FE-6073-0F47-EBEB-30BB636A4D52}"/>
              </a:ext>
            </a:extLst>
          </xdr:cNvPr>
          <xdr:cNvSpPr/>
        </xdr:nvSpPr>
        <xdr:spPr>
          <a:xfrm>
            <a:off x="501385" y="169630"/>
            <a:ext cx="75225" cy="25434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6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14B4156B-0AE2-7E1F-BC3E-6F33E6E71894}"/>
              </a:ext>
            </a:extLst>
          </xdr:cNvPr>
          <xdr:cNvSpPr/>
        </xdr:nvSpPr>
        <xdr:spPr>
          <a:xfrm>
            <a:off x="1662669" y="185482"/>
            <a:ext cx="428400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h/b =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BB9B7A47-2640-3C90-2B76-48055F1B48BE}"/>
              </a:ext>
            </a:extLst>
          </xdr:cNvPr>
          <xdr:cNvSpPr/>
        </xdr:nvSpPr>
        <xdr:spPr>
          <a:xfrm>
            <a:off x="1984237" y="189894"/>
            <a:ext cx="120505" cy="154538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Segoe UI Symbol" panose="020B0502040204020203" pitchFamily="34" charset="0"/>
                <a:ea typeface="Segoe UI Symbol" panose="020B0502040204020203" pitchFamily="34" charset="0"/>
                <a:cs typeface="Segoe UI Symbol" panose="020B0502040204020203" pitchFamily="34" charset="0"/>
              </a:rPr>
              <a:t>∞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" name="Rectangle 7">
            <a:extLst>
              <a:ext uri="{FF2B5EF4-FFF2-40B4-BE49-F238E27FC236}">
                <a16:creationId xmlns:a16="http://schemas.microsoft.com/office/drawing/2014/main" id="{DFF350B6-707A-4AD4-B191-55A768FD502F}"/>
              </a:ext>
            </a:extLst>
          </xdr:cNvPr>
          <xdr:cNvSpPr/>
        </xdr:nvSpPr>
        <xdr:spPr>
          <a:xfrm>
            <a:off x="2074915" y="185482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31F7B65D-381D-A49C-FBA9-26F4F17BBE0B}"/>
              </a:ext>
            </a:extLst>
          </xdr:cNvPr>
          <xdr:cNvSpPr/>
        </xdr:nvSpPr>
        <xdr:spPr>
          <a:xfrm>
            <a:off x="501445" y="385887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6B055A81-9A37-E5C2-AED9-8369E3666C47}"/>
              </a:ext>
            </a:extLst>
          </xdr:cNvPr>
          <xdr:cNvSpPr/>
        </xdr:nvSpPr>
        <xdr:spPr>
          <a:xfrm>
            <a:off x="324601" y="385887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2.5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F70339B0-1EF6-C354-53EB-7A3BE3A85BF5}"/>
              </a:ext>
            </a:extLst>
          </xdr:cNvPr>
          <xdr:cNvSpPr/>
        </xdr:nvSpPr>
        <xdr:spPr>
          <a:xfrm>
            <a:off x="501385" y="549106"/>
            <a:ext cx="75225" cy="25434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6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6DE2928-1141-9162-375B-D2613EAF2DA8}"/>
              </a:ext>
            </a:extLst>
          </xdr:cNvPr>
          <xdr:cNvSpPr/>
        </xdr:nvSpPr>
        <xdr:spPr>
          <a:xfrm>
            <a:off x="501445" y="766125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3" name="Rectangle 12">
            <a:extLst>
              <a:ext uri="{FF2B5EF4-FFF2-40B4-BE49-F238E27FC236}">
                <a16:creationId xmlns:a16="http://schemas.microsoft.com/office/drawing/2014/main" id="{D5AD1EC5-F032-441B-CECA-5679CE60671F}"/>
              </a:ext>
            </a:extLst>
          </xdr:cNvPr>
          <xdr:cNvSpPr/>
        </xdr:nvSpPr>
        <xdr:spPr>
          <a:xfrm>
            <a:off x="324601" y="766125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2.0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C292AE61-5CC1-D5E1-8EF1-894BA9EC4E46}"/>
              </a:ext>
            </a:extLst>
          </xdr:cNvPr>
          <xdr:cNvSpPr/>
        </xdr:nvSpPr>
        <xdr:spPr>
          <a:xfrm>
            <a:off x="501385" y="928582"/>
            <a:ext cx="75225" cy="25434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6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6D223B3E-B17D-A72D-6774-EC76F97AEDB0}"/>
              </a:ext>
            </a:extLst>
          </xdr:cNvPr>
          <xdr:cNvSpPr/>
        </xdr:nvSpPr>
        <xdr:spPr>
          <a:xfrm>
            <a:off x="501445" y="1145601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76FD0C60-9E5D-85AF-89C2-272B29752F11}"/>
              </a:ext>
            </a:extLst>
          </xdr:cNvPr>
          <xdr:cNvSpPr/>
        </xdr:nvSpPr>
        <xdr:spPr>
          <a:xfrm>
            <a:off x="324601" y="1145601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9052EE89-CD23-2B9C-36C5-12A4B4FF3294}"/>
              </a:ext>
            </a:extLst>
          </xdr:cNvPr>
          <xdr:cNvSpPr/>
        </xdr:nvSpPr>
        <xdr:spPr>
          <a:xfrm>
            <a:off x="501385" y="1308820"/>
            <a:ext cx="75225" cy="25434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6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79D889E4-B1B1-B7E9-3D27-E5077FB1E28C}"/>
              </a:ext>
            </a:extLst>
          </xdr:cNvPr>
          <xdr:cNvSpPr/>
        </xdr:nvSpPr>
        <xdr:spPr>
          <a:xfrm>
            <a:off x="501445" y="1525078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993FB6A-B924-1804-427F-37805C86C381}"/>
              </a:ext>
            </a:extLst>
          </xdr:cNvPr>
          <xdr:cNvSpPr/>
        </xdr:nvSpPr>
        <xdr:spPr>
          <a:xfrm>
            <a:off x="324601" y="1525078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CBDF78D6-1095-B919-8A78-DA395A030E93}"/>
              </a:ext>
            </a:extLst>
          </xdr:cNvPr>
          <xdr:cNvSpPr/>
        </xdr:nvSpPr>
        <xdr:spPr>
          <a:xfrm>
            <a:off x="501385" y="1688296"/>
            <a:ext cx="75225" cy="25434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6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4D63604F-9D22-BC21-18DF-D0F30FC39089}"/>
              </a:ext>
            </a:extLst>
          </xdr:cNvPr>
          <xdr:cNvSpPr/>
        </xdr:nvSpPr>
        <xdr:spPr>
          <a:xfrm>
            <a:off x="501445" y="1904552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" name="Rectangle 21">
            <a:extLst>
              <a:ext uri="{FF2B5EF4-FFF2-40B4-BE49-F238E27FC236}">
                <a16:creationId xmlns:a16="http://schemas.microsoft.com/office/drawing/2014/main" id="{FE1C0B22-9699-DDA8-5B32-2B3874992818}"/>
              </a:ext>
            </a:extLst>
          </xdr:cNvPr>
          <xdr:cNvSpPr/>
        </xdr:nvSpPr>
        <xdr:spPr>
          <a:xfrm>
            <a:off x="324601" y="1904552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99EA0103-1AF2-5158-6A18-12C2B470BF39}"/>
              </a:ext>
            </a:extLst>
          </xdr:cNvPr>
          <xdr:cNvSpPr/>
        </xdr:nvSpPr>
        <xdr:spPr>
          <a:xfrm>
            <a:off x="501385" y="2067772"/>
            <a:ext cx="75225" cy="25434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6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0E09D68D-B2A1-037E-18C0-489E42B81F6F}"/>
              </a:ext>
            </a:extLst>
          </xdr:cNvPr>
          <xdr:cNvSpPr/>
        </xdr:nvSpPr>
        <xdr:spPr>
          <a:xfrm>
            <a:off x="501361" y="2284792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5" name="Rectangle 24">
            <a:extLst>
              <a:ext uri="{FF2B5EF4-FFF2-40B4-BE49-F238E27FC236}">
                <a16:creationId xmlns:a16="http://schemas.microsoft.com/office/drawing/2014/main" id="{4852A653-CD17-65A7-C91E-54FFA55F77FF}"/>
              </a:ext>
            </a:extLst>
          </xdr:cNvPr>
          <xdr:cNvSpPr/>
        </xdr:nvSpPr>
        <xdr:spPr>
          <a:xfrm>
            <a:off x="430519" y="2284792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6" name="Rectangle 25">
            <a:extLst>
              <a:ext uri="{FF2B5EF4-FFF2-40B4-BE49-F238E27FC236}">
                <a16:creationId xmlns:a16="http://schemas.microsoft.com/office/drawing/2014/main" id="{A3AF5119-FEA7-ACB8-2910-65CBD4E3A472}"/>
              </a:ext>
            </a:extLst>
          </xdr:cNvPr>
          <xdr:cNvSpPr/>
        </xdr:nvSpPr>
        <xdr:spPr>
          <a:xfrm>
            <a:off x="889244" y="2398327"/>
            <a:ext cx="235085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26">
            <a:extLst>
              <a:ext uri="{FF2B5EF4-FFF2-40B4-BE49-F238E27FC236}">
                <a16:creationId xmlns:a16="http://schemas.microsoft.com/office/drawing/2014/main" id="{ACCA3274-2E7E-BC23-3D9D-34635517A535}"/>
              </a:ext>
            </a:extLst>
          </xdr:cNvPr>
          <xdr:cNvSpPr/>
        </xdr:nvSpPr>
        <xdr:spPr>
          <a:xfrm>
            <a:off x="1065936" y="2398327"/>
            <a:ext cx="2440740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     1.0     1.5     2.0     2.5     3.0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8" name="Rectangle 27">
            <a:extLst>
              <a:ext uri="{FF2B5EF4-FFF2-40B4-BE49-F238E27FC236}">
                <a16:creationId xmlns:a16="http://schemas.microsoft.com/office/drawing/2014/main" id="{D1D91CD0-4B01-C286-E7CB-43306C9CE83F}"/>
              </a:ext>
            </a:extLst>
          </xdr:cNvPr>
          <xdr:cNvSpPr/>
        </xdr:nvSpPr>
        <xdr:spPr>
          <a:xfrm>
            <a:off x="1964382" y="451417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9" name="Rectangle 28">
            <a:extLst>
              <a:ext uri="{FF2B5EF4-FFF2-40B4-BE49-F238E27FC236}">
                <a16:creationId xmlns:a16="http://schemas.microsoft.com/office/drawing/2014/main" id="{C0D9C458-E7A6-8ABB-3CEF-297ABE509ACC}"/>
              </a:ext>
            </a:extLst>
          </xdr:cNvPr>
          <xdr:cNvSpPr/>
        </xdr:nvSpPr>
        <xdr:spPr>
          <a:xfrm>
            <a:off x="1822698" y="451417"/>
            <a:ext cx="18832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20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0" name="Rectangle 29">
            <a:extLst>
              <a:ext uri="{FF2B5EF4-FFF2-40B4-BE49-F238E27FC236}">
                <a16:creationId xmlns:a16="http://schemas.microsoft.com/office/drawing/2014/main" id="{8E648065-20C0-26DC-D352-CA35F0D8472A}"/>
              </a:ext>
            </a:extLst>
          </xdr:cNvPr>
          <xdr:cNvSpPr/>
        </xdr:nvSpPr>
        <xdr:spPr>
          <a:xfrm>
            <a:off x="1777738" y="673921"/>
            <a:ext cx="18832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1" name="Rectangle 30">
            <a:extLst>
              <a:ext uri="{FF2B5EF4-FFF2-40B4-BE49-F238E27FC236}">
                <a16:creationId xmlns:a16="http://schemas.microsoft.com/office/drawing/2014/main" id="{6DC1602C-EAB9-9234-935E-EDDE9C28D84C}"/>
              </a:ext>
            </a:extLst>
          </xdr:cNvPr>
          <xdr:cNvSpPr/>
        </xdr:nvSpPr>
        <xdr:spPr>
          <a:xfrm>
            <a:off x="1919423" y="673921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2" name="Rectangle 31">
            <a:extLst>
              <a:ext uri="{FF2B5EF4-FFF2-40B4-BE49-F238E27FC236}">
                <a16:creationId xmlns:a16="http://schemas.microsoft.com/office/drawing/2014/main" id="{C75A548F-C436-5E28-8919-01C7E2455CC0}"/>
              </a:ext>
            </a:extLst>
          </xdr:cNvPr>
          <xdr:cNvSpPr/>
        </xdr:nvSpPr>
        <xdr:spPr>
          <a:xfrm>
            <a:off x="2044412" y="851466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3" name="Rectangle 32">
            <a:extLst>
              <a:ext uri="{FF2B5EF4-FFF2-40B4-BE49-F238E27FC236}">
                <a16:creationId xmlns:a16="http://schemas.microsoft.com/office/drawing/2014/main" id="{F5B40891-11FE-9043-CA8E-DE8221EAB8AA}"/>
              </a:ext>
            </a:extLst>
          </xdr:cNvPr>
          <xdr:cNvSpPr/>
        </xdr:nvSpPr>
        <xdr:spPr>
          <a:xfrm>
            <a:off x="1973570" y="851466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5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4" name="Rectangle 33">
            <a:extLst>
              <a:ext uri="{FF2B5EF4-FFF2-40B4-BE49-F238E27FC236}">
                <a16:creationId xmlns:a16="http://schemas.microsoft.com/office/drawing/2014/main" id="{B8C6AFD6-A5F5-A0AC-6EC2-97651E97D2AF}"/>
              </a:ext>
            </a:extLst>
          </xdr:cNvPr>
          <xdr:cNvSpPr/>
        </xdr:nvSpPr>
        <xdr:spPr>
          <a:xfrm>
            <a:off x="1849370" y="1749866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5" name="Rectangle 34">
            <a:extLst>
              <a:ext uri="{FF2B5EF4-FFF2-40B4-BE49-F238E27FC236}">
                <a16:creationId xmlns:a16="http://schemas.microsoft.com/office/drawing/2014/main" id="{6D57A6A6-844F-7EE7-BA5F-7AE2DB08D02E}"/>
              </a:ext>
            </a:extLst>
          </xdr:cNvPr>
          <xdr:cNvSpPr/>
        </xdr:nvSpPr>
        <xdr:spPr>
          <a:xfrm>
            <a:off x="1920213" y="1749866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6" name="Rectangle 35">
            <a:extLst>
              <a:ext uri="{FF2B5EF4-FFF2-40B4-BE49-F238E27FC236}">
                <a16:creationId xmlns:a16="http://schemas.microsoft.com/office/drawing/2014/main" id="{47821DD6-DE61-1BF6-484E-5A71A457089D}"/>
              </a:ext>
            </a:extLst>
          </xdr:cNvPr>
          <xdr:cNvSpPr/>
        </xdr:nvSpPr>
        <xdr:spPr>
          <a:xfrm>
            <a:off x="1404362" y="1483168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3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7" name="Rectangle 36">
            <a:extLst>
              <a:ext uri="{FF2B5EF4-FFF2-40B4-BE49-F238E27FC236}">
                <a16:creationId xmlns:a16="http://schemas.microsoft.com/office/drawing/2014/main" id="{3C0146D5-0A19-CB5F-8340-73F8EEAF124C}"/>
              </a:ext>
            </a:extLst>
          </xdr:cNvPr>
          <xdr:cNvSpPr/>
        </xdr:nvSpPr>
        <xdr:spPr>
          <a:xfrm>
            <a:off x="1475205" y="1483168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38" name="Shape 13698">
            <a:extLst>
              <a:ext uri="{FF2B5EF4-FFF2-40B4-BE49-F238E27FC236}">
                <a16:creationId xmlns:a16="http://schemas.microsoft.com/office/drawing/2014/main" id="{9669D55C-1373-FD4C-395E-D032A28C6BE0}"/>
              </a:ext>
            </a:extLst>
          </xdr:cNvPr>
          <xdr:cNvSpPr/>
        </xdr:nvSpPr>
        <xdr:spPr>
          <a:xfrm>
            <a:off x="584443" y="194310"/>
            <a:ext cx="2339340" cy="1171956"/>
          </a:xfrm>
          <a:custGeom>
            <a:avLst/>
            <a:gdLst/>
            <a:ahLst/>
            <a:cxnLst/>
            <a:rect l="0" t="0" r="0" b="0"/>
            <a:pathLst>
              <a:path w="2339340" h="1171956">
                <a:moveTo>
                  <a:pt x="0" y="722376"/>
                </a:moveTo>
                <a:cubicBezTo>
                  <a:pt x="12192" y="714756"/>
                  <a:pt x="37338" y="704850"/>
                  <a:pt x="74676" y="671323"/>
                </a:cubicBezTo>
                <a:cubicBezTo>
                  <a:pt x="112014" y="637794"/>
                  <a:pt x="185166" y="564642"/>
                  <a:pt x="224790" y="518923"/>
                </a:cubicBezTo>
                <a:cubicBezTo>
                  <a:pt x="265176" y="473202"/>
                  <a:pt x="294132" y="424435"/>
                  <a:pt x="312420" y="397002"/>
                </a:cubicBezTo>
                <a:cubicBezTo>
                  <a:pt x="331470" y="369570"/>
                  <a:pt x="327660" y="371856"/>
                  <a:pt x="337566" y="355092"/>
                </a:cubicBezTo>
                <a:cubicBezTo>
                  <a:pt x="346710" y="338328"/>
                  <a:pt x="361950" y="316230"/>
                  <a:pt x="371856" y="295656"/>
                </a:cubicBezTo>
                <a:cubicBezTo>
                  <a:pt x="381762" y="275844"/>
                  <a:pt x="385572" y="258318"/>
                  <a:pt x="398526" y="230886"/>
                </a:cubicBezTo>
                <a:cubicBezTo>
                  <a:pt x="411480" y="204216"/>
                  <a:pt x="435102" y="161544"/>
                  <a:pt x="449580" y="131826"/>
                </a:cubicBezTo>
                <a:cubicBezTo>
                  <a:pt x="464820" y="102870"/>
                  <a:pt x="472440" y="77724"/>
                  <a:pt x="483870" y="57912"/>
                </a:cubicBezTo>
                <a:cubicBezTo>
                  <a:pt x="495300" y="38100"/>
                  <a:pt x="505968" y="19050"/>
                  <a:pt x="518160" y="13716"/>
                </a:cubicBezTo>
                <a:cubicBezTo>
                  <a:pt x="531114" y="9144"/>
                  <a:pt x="546354" y="0"/>
                  <a:pt x="562356" y="27432"/>
                </a:cubicBezTo>
                <a:cubicBezTo>
                  <a:pt x="566166" y="59436"/>
                  <a:pt x="585216" y="103632"/>
                  <a:pt x="615696" y="179832"/>
                </a:cubicBezTo>
                <a:cubicBezTo>
                  <a:pt x="637794" y="230124"/>
                  <a:pt x="660654" y="279654"/>
                  <a:pt x="689610" y="328423"/>
                </a:cubicBezTo>
                <a:cubicBezTo>
                  <a:pt x="719328" y="377190"/>
                  <a:pt x="750570" y="425197"/>
                  <a:pt x="790956" y="472440"/>
                </a:cubicBezTo>
                <a:cubicBezTo>
                  <a:pt x="831342" y="520447"/>
                  <a:pt x="869442" y="562356"/>
                  <a:pt x="933450" y="614935"/>
                </a:cubicBezTo>
                <a:cubicBezTo>
                  <a:pt x="996696" y="666750"/>
                  <a:pt x="1091946" y="734568"/>
                  <a:pt x="1173480" y="783336"/>
                </a:cubicBezTo>
                <a:cubicBezTo>
                  <a:pt x="1254252" y="832866"/>
                  <a:pt x="1355598" y="877824"/>
                  <a:pt x="1421130" y="907542"/>
                </a:cubicBezTo>
                <a:cubicBezTo>
                  <a:pt x="1487424" y="937261"/>
                  <a:pt x="1530096" y="950214"/>
                  <a:pt x="1568196" y="964692"/>
                </a:cubicBezTo>
                <a:cubicBezTo>
                  <a:pt x="1606296" y="979170"/>
                  <a:pt x="1589532" y="977647"/>
                  <a:pt x="1649730" y="996697"/>
                </a:cubicBezTo>
                <a:cubicBezTo>
                  <a:pt x="1710690" y="1016509"/>
                  <a:pt x="1844040" y="1058418"/>
                  <a:pt x="1930146" y="1082802"/>
                </a:cubicBezTo>
                <a:cubicBezTo>
                  <a:pt x="2030730" y="1110997"/>
                  <a:pt x="2118360" y="1130047"/>
                  <a:pt x="2170176" y="1141476"/>
                </a:cubicBezTo>
                <a:cubicBezTo>
                  <a:pt x="2221992" y="1153668"/>
                  <a:pt x="2228088" y="1153668"/>
                  <a:pt x="2242566" y="1156716"/>
                </a:cubicBezTo>
                <a:cubicBezTo>
                  <a:pt x="2257044" y="1160526"/>
                  <a:pt x="2241804" y="1158240"/>
                  <a:pt x="2257806" y="1160526"/>
                </a:cubicBezTo>
                <a:cubicBezTo>
                  <a:pt x="2273808" y="1163574"/>
                  <a:pt x="2322576" y="1169671"/>
                  <a:pt x="2339340" y="1171956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39" name="Shape 13699">
            <a:extLst>
              <a:ext uri="{FF2B5EF4-FFF2-40B4-BE49-F238E27FC236}">
                <a16:creationId xmlns:a16="http://schemas.microsoft.com/office/drawing/2014/main" id="{199579EA-5790-022A-4E3F-8BDF1A2D11A6}"/>
              </a:ext>
            </a:extLst>
          </xdr:cNvPr>
          <xdr:cNvSpPr/>
        </xdr:nvSpPr>
        <xdr:spPr>
          <a:xfrm>
            <a:off x="592825" y="383286"/>
            <a:ext cx="2320290" cy="1039368"/>
          </a:xfrm>
          <a:custGeom>
            <a:avLst/>
            <a:gdLst/>
            <a:ahLst/>
            <a:cxnLst/>
            <a:rect l="0" t="0" r="0" b="0"/>
            <a:pathLst>
              <a:path w="2320290" h="1039368">
                <a:moveTo>
                  <a:pt x="0" y="603504"/>
                </a:moveTo>
                <a:cubicBezTo>
                  <a:pt x="23622" y="589788"/>
                  <a:pt x="48006" y="575310"/>
                  <a:pt x="80010" y="550164"/>
                </a:cubicBezTo>
                <a:cubicBezTo>
                  <a:pt x="112776" y="525018"/>
                  <a:pt x="154686" y="495300"/>
                  <a:pt x="195834" y="452628"/>
                </a:cubicBezTo>
                <a:cubicBezTo>
                  <a:pt x="236982" y="409194"/>
                  <a:pt x="288798" y="348997"/>
                  <a:pt x="329184" y="292609"/>
                </a:cubicBezTo>
                <a:cubicBezTo>
                  <a:pt x="368808" y="236220"/>
                  <a:pt x="410718" y="160020"/>
                  <a:pt x="435864" y="114300"/>
                </a:cubicBezTo>
                <a:cubicBezTo>
                  <a:pt x="461010" y="68580"/>
                  <a:pt x="464058" y="33528"/>
                  <a:pt x="480060" y="16764"/>
                </a:cubicBezTo>
                <a:cubicBezTo>
                  <a:pt x="496824" y="0"/>
                  <a:pt x="518922" y="6858"/>
                  <a:pt x="533400" y="16764"/>
                </a:cubicBezTo>
                <a:cubicBezTo>
                  <a:pt x="547878" y="26670"/>
                  <a:pt x="555498" y="57150"/>
                  <a:pt x="569214" y="79248"/>
                </a:cubicBezTo>
                <a:cubicBezTo>
                  <a:pt x="582168" y="101347"/>
                  <a:pt x="600456" y="126492"/>
                  <a:pt x="613410" y="150114"/>
                </a:cubicBezTo>
                <a:cubicBezTo>
                  <a:pt x="627126" y="173736"/>
                  <a:pt x="631698" y="191262"/>
                  <a:pt x="649224" y="220980"/>
                </a:cubicBezTo>
                <a:cubicBezTo>
                  <a:pt x="666750" y="251460"/>
                  <a:pt x="697992" y="297180"/>
                  <a:pt x="720090" y="327660"/>
                </a:cubicBezTo>
                <a:cubicBezTo>
                  <a:pt x="742188" y="358902"/>
                  <a:pt x="757428" y="381000"/>
                  <a:pt x="782574" y="407670"/>
                </a:cubicBezTo>
                <a:cubicBezTo>
                  <a:pt x="807720" y="434340"/>
                  <a:pt x="834390" y="457200"/>
                  <a:pt x="871728" y="487680"/>
                </a:cubicBezTo>
                <a:cubicBezTo>
                  <a:pt x="908304" y="518923"/>
                  <a:pt x="963168" y="564642"/>
                  <a:pt x="1005078" y="594360"/>
                </a:cubicBezTo>
                <a:cubicBezTo>
                  <a:pt x="1046226" y="624840"/>
                  <a:pt x="1078992" y="642366"/>
                  <a:pt x="1120140" y="665988"/>
                </a:cubicBezTo>
                <a:cubicBezTo>
                  <a:pt x="1161288" y="689610"/>
                  <a:pt x="1190244" y="707136"/>
                  <a:pt x="1253490" y="736854"/>
                </a:cubicBezTo>
                <a:cubicBezTo>
                  <a:pt x="1317498" y="766573"/>
                  <a:pt x="1418082" y="812292"/>
                  <a:pt x="1502664" y="843535"/>
                </a:cubicBezTo>
                <a:cubicBezTo>
                  <a:pt x="1587246" y="874776"/>
                  <a:pt x="1665732" y="898398"/>
                  <a:pt x="1760220" y="923544"/>
                </a:cubicBezTo>
                <a:cubicBezTo>
                  <a:pt x="1854708" y="948690"/>
                  <a:pt x="1978152" y="975360"/>
                  <a:pt x="2071878" y="994410"/>
                </a:cubicBezTo>
                <a:cubicBezTo>
                  <a:pt x="2164842" y="1013460"/>
                  <a:pt x="2242566" y="1026414"/>
                  <a:pt x="2320290" y="1039368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0" name="Shape 13700">
            <a:extLst>
              <a:ext uri="{FF2B5EF4-FFF2-40B4-BE49-F238E27FC236}">
                <a16:creationId xmlns:a16="http://schemas.microsoft.com/office/drawing/2014/main" id="{BE4A765D-A397-D136-DC2D-6793FAB6CA40}"/>
              </a:ext>
            </a:extLst>
          </xdr:cNvPr>
          <xdr:cNvSpPr/>
        </xdr:nvSpPr>
        <xdr:spPr>
          <a:xfrm>
            <a:off x="584443" y="859536"/>
            <a:ext cx="2328672" cy="607314"/>
          </a:xfrm>
          <a:custGeom>
            <a:avLst/>
            <a:gdLst/>
            <a:ahLst/>
            <a:cxnLst/>
            <a:rect l="0" t="0" r="0" b="0"/>
            <a:pathLst>
              <a:path w="2328672" h="607314">
                <a:moveTo>
                  <a:pt x="0" y="331470"/>
                </a:moveTo>
                <a:cubicBezTo>
                  <a:pt x="32766" y="320040"/>
                  <a:pt x="66294" y="308610"/>
                  <a:pt x="106680" y="287274"/>
                </a:cubicBezTo>
                <a:cubicBezTo>
                  <a:pt x="146304" y="266700"/>
                  <a:pt x="196596" y="236982"/>
                  <a:pt x="240030" y="207264"/>
                </a:cubicBezTo>
                <a:cubicBezTo>
                  <a:pt x="282702" y="177547"/>
                  <a:pt x="325374" y="139447"/>
                  <a:pt x="364236" y="109728"/>
                </a:cubicBezTo>
                <a:cubicBezTo>
                  <a:pt x="403098" y="80010"/>
                  <a:pt x="447294" y="47244"/>
                  <a:pt x="470916" y="29718"/>
                </a:cubicBezTo>
                <a:cubicBezTo>
                  <a:pt x="494538" y="11430"/>
                  <a:pt x="493014" y="6097"/>
                  <a:pt x="506730" y="3048"/>
                </a:cubicBezTo>
                <a:cubicBezTo>
                  <a:pt x="519684" y="0"/>
                  <a:pt x="536448" y="7620"/>
                  <a:pt x="550926" y="11430"/>
                </a:cubicBezTo>
                <a:cubicBezTo>
                  <a:pt x="565404" y="16002"/>
                  <a:pt x="576072" y="19050"/>
                  <a:pt x="595122" y="29718"/>
                </a:cubicBezTo>
                <a:cubicBezTo>
                  <a:pt x="614172" y="39624"/>
                  <a:pt x="633984" y="51816"/>
                  <a:pt x="666750" y="73914"/>
                </a:cubicBezTo>
                <a:cubicBezTo>
                  <a:pt x="698754" y="96012"/>
                  <a:pt x="740664" y="131826"/>
                  <a:pt x="790956" y="163068"/>
                </a:cubicBezTo>
                <a:cubicBezTo>
                  <a:pt x="841248" y="194310"/>
                  <a:pt x="916686" y="233935"/>
                  <a:pt x="968502" y="260604"/>
                </a:cubicBezTo>
                <a:cubicBezTo>
                  <a:pt x="1021080" y="287274"/>
                  <a:pt x="1059180" y="304800"/>
                  <a:pt x="1101852" y="323088"/>
                </a:cubicBezTo>
                <a:cubicBezTo>
                  <a:pt x="1145286" y="340614"/>
                  <a:pt x="1167384" y="346710"/>
                  <a:pt x="1226820" y="367285"/>
                </a:cubicBezTo>
                <a:cubicBezTo>
                  <a:pt x="1285494" y="388620"/>
                  <a:pt x="1382268" y="425197"/>
                  <a:pt x="1457706" y="447294"/>
                </a:cubicBezTo>
                <a:cubicBezTo>
                  <a:pt x="1533144" y="469392"/>
                  <a:pt x="1603248" y="483870"/>
                  <a:pt x="1680210" y="500635"/>
                </a:cubicBezTo>
                <a:cubicBezTo>
                  <a:pt x="1756410" y="517398"/>
                  <a:pt x="1848612" y="533400"/>
                  <a:pt x="1920240" y="544830"/>
                </a:cubicBezTo>
                <a:cubicBezTo>
                  <a:pt x="1991106" y="557023"/>
                  <a:pt x="2038350" y="561594"/>
                  <a:pt x="2106930" y="571500"/>
                </a:cubicBezTo>
                <a:cubicBezTo>
                  <a:pt x="2174748" y="582168"/>
                  <a:pt x="2251710" y="594360"/>
                  <a:pt x="2328672" y="607314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1" name="Shape 13701">
            <a:extLst>
              <a:ext uri="{FF2B5EF4-FFF2-40B4-BE49-F238E27FC236}">
                <a16:creationId xmlns:a16="http://schemas.microsoft.com/office/drawing/2014/main" id="{67EF321D-E678-E2EF-6626-A5EF280A9DDE}"/>
              </a:ext>
            </a:extLst>
          </xdr:cNvPr>
          <xdr:cNvSpPr/>
        </xdr:nvSpPr>
        <xdr:spPr>
          <a:xfrm>
            <a:off x="584443" y="1194816"/>
            <a:ext cx="2337816" cy="308610"/>
          </a:xfrm>
          <a:custGeom>
            <a:avLst/>
            <a:gdLst/>
            <a:ahLst/>
            <a:cxnLst/>
            <a:rect l="0" t="0" r="0" b="0"/>
            <a:pathLst>
              <a:path w="2337816" h="308610">
                <a:moveTo>
                  <a:pt x="0" y="129540"/>
                </a:moveTo>
                <a:cubicBezTo>
                  <a:pt x="33528" y="124968"/>
                  <a:pt x="67818" y="119634"/>
                  <a:pt x="106680" y="112014"/>
                </a:cubicBezTo>
                <a:cubicBezTo>
                  <a:pt x="144780" y="104394"/>
                  <a:pt x="189738" y="95250"/>
                  <a:pt x="230886" y="85344"/>
                </a:cubicBezTo>
                <a:cubicBezTo>
                  <a:pt x="272034" y="75438"/>
                  <a:pt x="316230" y="61722"/>
                  <a:pt x="355092" y="49530"/>
                </a:cubicBezTo>
                <a:cubicBezTo>
                  <a:pt x="393954" y="38100"/>
                  <a:pt x="435102" y="22098"/>
                  <a:pt x="461772" y="14478"/>
                </a:cubicBezTo>
                <a:cubicBezTo>
                  <a:pt x="488442" y="6858"/>
                  <a:pt x="497586" y="3810"/>
                  <a:pt x="515112" y="2286"/>
                </a:cubicBezTo>
                <a:cubicBezTo>
                  <a:pt x="533400" y="762"/>
                  <a:pt x="544830" y="0"/>
                  <a:pt x="568452" y="5334"/>
                </a:cubicBezTo>
                <a:cubicBezTo>
                  <a:pt x="592074" y="10668"/>
                  <a:pt x="613410" y="17526"/>
                  <a:pt x="657606" y="32004"/>
                </a:cubicBezTo>
                <a:cubicBezTo>
                  <a:pt x="701802" y="46482"/>
                  <a:pt x="777240" y="75438"/>
                  <a:pt x="835152" y="94488"/>
                </a:cubicBezTo>
                <a:cubicBezTo>
                  <a:pt x="893064" y="113538"/>
                  <a:pt x="931926" y="128778"/>
                  <a:pt x="1004316" y="147828"/>
                </a:cubicBezTo>
                <a:cubicBezTo>
                  <a:pt x="1076706" y="166878"/>
                  <a:pt x="1167384" y="190500"/>
                  <a:pt x="1271016" y="209550"/>
                </a:cubicBezTo>
                <a:cubicBezTo>
                  <a:pt x="1374648" y="228600"/>
                  <a:pt x="1497330" y="248412"/>
                  <a:pt x="1626870" y="262890"/>
                </a:cubicBezTo>
                <a:cubicBezTo>
                  <a:pt x="1755648" y="278130"/>
                  <a:pt x="1943100" y="291084"/>
                  <a:pt x="2044446" y="298704"/>
                </a:cubicBezTo>
                <a:cubicBezTo>
                  <a:pt x="2145030" y="306324"/>
                  <a:pt x="2182368" y="306324"/>
                  <a:pt x="2231136" y="307848"/>
                </a:cubicBezTo>
                <a:cubicBezTo>
                  <a:pt x="2279904" y="308610"/>
                  <a:pt x="2308860" y="308610"/>
                  <a:pt x="2337816" y="307848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2" name="Shape 13702">
            <a:extLst>
              <a:ext uri="{FF2B5EF4-FFF2-40B4-BE49-F238E27FC236}">
                <a16:creationId xmlns:a16="http://schemas.microsoft.com/office/drawing/2014/main" id="{A44A765A-05D1-F6D0-138C-3ACE9168F956}"/>
              </a:ext>
            </a:extLst>
          </xdr:cNvPr>
          <xdr:cNvSpPr/>
        </xdr:nvSpPr>
        <xdr:spPr>
          <a:xfrm>
            <a:off x="584443" y="1303782"/>
            <a:ext cx="2337816" cy="262127"/>
          </a:xfrm>
          <a:custGeom>
            <a:avLst/>
            <a:gdLst/>
            <a:ahLst/>
            <a:cxnLst/>
            <a:rect l="0" t="0" r="0" b="0"/>
            <a:pathLst>
              <a:path w="2337816" h="262127">
                <a:moveTo>
                  <a:pt x="0" y="92201"/>
                </a:moveTo>
                <a:cubicBezTo>
                  <a:pt x="19050" y="89915"/>
                  <a:pt x="39624" y="89153"/>
                  <a:pt x="80010" y="83058"/>
                </a:cubicBezTo>
                <a:cubicBezTo>
                  <a:pt x="119634" y="77724"/>
                  <a:pt x="188976" y="67056"/>
                  <a:pt x="240030" y="56388"/>
                </a:cubicBezTo>
                <a:cubicBezTo>
                  <a:pt x="290322" y="45720"/>
                  <a:pt x="340614" y="25908"/>
                  <a:pt x="384810" y="16763"/>
                </a:cubicBezTo>
                <a:cubicBezTo>
                  <a:pt x="429768" y="8382"/>
                  <a:pt x="470154" y="5334"/>
                  <a:pt x="506730" y="3048"/>
                </a:cubicBezTo>
                <a:cubicBezTo>
                  <a:pt x="542544" y="762"/>
                  <a:pt x="569976" y="0"/>
                  <a:pt x="604266" y="3048"/>
                </a:cubicBezTo>
                <a:cubicBezTo>
                  <a:pt x="638556" y="6096"/>
                  <a:pt x="678180" y="15239"/>
                  <a:pt x="710946" y="20574"/>
                </a:cubicBezTo>
                <a:cubicBezTo>
                  <a:pt x="742950" y="26670"/>
                  <a:pt x="768858" y="30480"/>
                  <a:pt x="800100" y="38862"/>
                </a:cubicBezTo>
                <a:cubicBezTo>
                  <a:pt x="830580" y="47244"/>
                  <a:pt x="856488" y="58674"/>
                  <a:pt x="896112" y="70865"/>
                </a:cubicBezTo>
                <a:cubicBezTo>
                  <a:pt x="936498" y="83058"/>
                  <a:pt x="987552" y="96012"/>
                  <a:pt x="1040130" y="109727"/>
                </a:cubicBezTo>
                <a:cubicBezTo>
                  <a:pt x="1091946" y="123444"/>
                  <a:pt x="1139190" y="139446"/>
                  <a:pt x="1208532" y="153924"/>
                </a:cubicBezTo>
                <a:cubicBezTo>
                  <a:pt x="1277874" y="169163"/>
                  <a:pt x="1409700" y="190500"/>
                  <a:pt x="1457706" y="198882"/>
                </a:cubicBezTo>
                <a:cubicBezTo>
                  <a:pt x="1504950" y="207263"/>
                  <a:pt x="1478280" y="202692"/>
                  <a:pt x="1496568" y="204215"/>
                </a:cubicBezTo>
                <a:cubicBezTo>
                  <a:pt x="1514094" y="206501"/>
                  <a:pt x="1532382" y="207263"/>
                  <a:pt x="1562862" y="211074"/>
                </a:cubicBezTo>
                <a:cubicBezTo>
                  <a:pt x="1593342" y="214122"/>
                  <a:pt x="1607820" y="217932"/>
                  <a:pt x="1680210" y="225551"/>
                </a:cubicBezTo>
                <a:cubicBezTo>
                  <a:pt x="1752600" y="233172"/>
                  <a:pt x="1914144" y="249174"/>
                  <a:pt x="1997964" y="255270"/>
                </a:cubicBezTo>
                <a:cubicBezTo>
                  <a:pt x="2081784" y="260603"/>
                  <a:pt x="2125980" y="260603"/>
                  <a:pt x="2182368" y="261365"/>
                </a:cubicBezTo>
                <a:cubicBezTo>
                  <a:pt x="2238756" y="262127"/>
                  <a:pt x="2305050" y="260603"/>
                  <a:pt x="2337816" y="260603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3" name="Shape 13703">
            <a:extLst>
              <a:ext uri="{FF2B5EF4-FFF2-40B4-BE49-F238E27FC236}">
                <a16:creationId xmlns:a16="http://schemas.microsoft.com/office/drawing/2014/main" id="{7B1145E5-D5B2-385C-F605-461916630E39}"/>
              </a:ext>
            </a:extLst>
          </xdr:cNvPr>
          <xdr:cNvSpPr/>
        </xdr:nvSpPr>
        <xdr:spPr>
          <a:xfrm>
            <a:off x="575299" y="1383792"/>
            <a:ext cx="2346960" cy="237744"/>
          </a:xfrm>
          <a:custGeom>
            <a:avLst/>
            <a:gdLst/>
            <a:ahLst/>
            <a:cxnLst/>
            <a:rect l="0" t="0" r="0" b="0"/>
            <a:pathLst>
              <a:path w="2346960" h="237744">
                <a:moveTo>
                  <a:pt x="0" y="83058"/>
                </a:moveTo>
                <a:cubicBezTo>
                  <a:pt x="30480" y="80772"/>
                  <a:pt x="60960" y="78486"/>
                  <a:pt x="97536" y="73914"/>
                </a:cubicBezTo>
                <a:cubicBezTo>
                  <a:pt x="134874" y="70103"/>
                  <a:pt x="183642" y="62484"/>
                  <a:pt x="222504" y="56388"/>
                </a:cubicBezTo>
                <a:cubicBezTo>
                  <a:pt x="260604" y="51053"/>
                  <a:pt x="297942" y="44196"/>
                  <a:pt x="329184" y="38862"/>
                </a:cubicBezTo>
                <a:cubicBezTo>
                  <a:pt x="359664" y="32766"/>
                  <a:pt x="377952" y="26670"/>
                  <a:pt x="409194" y="20574"/>
                </a:cubicBezTo>
                <a:cubicBezTo>
                  <a:pt x="439674" y="15240"/>
                  <a:pt x="485394" y="6096"/>
                  <a:pt x="515874" y="3048"/>
                </a:cubicBezTo>
                <a:cubicBezTo>
                  <a:pt x="545592" y="0"/>
                  <a:pt x="560070" y="3048"/>
                  <a:pt x="586740" y="3048"/>
                </a:cubicBezTo>
                <a:cubicBezTo>
                  <a:pt x="613410" y="3048"/>
                  <a:pt x="643128" y="0"/>
                  <a:pt x="675894" y="3048"/>
                </a:cubicBezTo>
                <a:cubicBezTo>
                  <a:pt x="707898" y="6096"/>
                  <a:pt x="737616" y="12192"/>
                  <a:pt x="782574" y="20574"/>
                </a:cubicBezTo>
                <a:cubicBezTo>
                  <a:pt x="826770" y="29718"/>
                  <a:pt x="896874" y="44196"/>
                  <a:pt x="942594" y="56388"/>
                </a:cubicBezTo>
                <a:cubicBezTo>
                  <a:pt x="988314" y="68580"/>
                  <a:pt x="1014984" y="80010"/>
                  <a:pt x="1057656" y="92202"/>
                </a:cubicBezTo>
                <a:cubicBezTo>
                  <a:pt x="1101090" y="104394"/>
                  <a:pt x="1142238" y="115824"/>
                  <a:pt x="1200150" y="127253"/>
                </a:cubicBezTo>
                <a:cubicBezTo>
                  <a:pt x="1258062" y="139446"/>
                  <a:pt x="1336548" y="153162"/>
                  <a:pt x="1404366" y="163068"/>
                </a:cubicBezTo>
                <a:cubicBezTo>
                  <a:pt x="1472184" y="172974"/>
                  <a:pt x="1527810" y="180594"/>
                  <a:pt x="1609344" y="189738"/>
                </a:cubicBezTo>
                <a:cubicBezTo>
                  <a:pt x="1690116" y="198882"/>
                  <a:pt x="1794510" y="208788"/>
                  <a:pt x="1893570" y="216408"/>
                </a:cubicBezTo>
                <a:cubicBezTo>
                  <a:pt x="1992630" y="224028"/>
                  <a:pt x="2129028" y="230886"/>
                  <a:pt x="2204466" y="233934"/>
                </a:cubicBezTo>
                <a:cubicBezTo>
                  <a:pt x="2279904" y="237744"/>
                  <a:pt x="2313432" y="235458"/>
                  <a:pt x="2346960" y="233934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4" name="Shape 13704">
            <a:extLst>
              <a:ext uri="{FF2B5EF4-FFF2-40B4-BE49-F238E27FC236}">
                <a16:creationId xmlns:a16="http://schemas.microsoft.com/office/drawing/2014/main" id="{1D7826E3-AF53-DA2D-5AD1-B07E5B5EA1F1}"/>
              </a:ext>
            </a:extLst>
          </xdr:cNvPr>
          <xdr:cNvSpPr/>
        </xdr:nvSpPr>
        <xdr:spPr>
          <a:xfrm>
            <a:off x="584443" y="17526"/>
            <a:ext cx="2337816" cy="2329434"/>
          </a:xfrm>
          <a:custGeom>
            <a:avLst/>
            <a:gdLst/>
            <a:ahLst/>
            <a:cxnLst/>
            <a:rect l="0" t="0" r="0" b="0"/>
            <a:pathLst>
              <a:path w="2337816" h="2329434">
                <a:moveTo>
                  <a:pt x="2337816" y="0"/>
                </a:moveTo>
                <a:lnTo>
                  <a:pt x="0" y="0"/>
                </a:lnTo>
                <a:lnTo>
                  <a:pt x="0" y="2329434"/>
                </a:lnTo>
                <a:lnTo>
                  <a:pt x="2337816" y="2329434"/>
                </a:lnTo>
                <a:close/>
              </a:path>
            </a:pathLst>
          </a:custGeom>
          <a:ln w="19050" cap="rnd">
            <a:miter lim="101600"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5" name="Shape 13707">
            <a:extLst>
              <a:ext uri="{FF2B5EF4-FFF2-40B4-BE49-F238E27FC236}">
                <a16:creationId xmlns:a16="http://schemas.microsoft.com/office/drawing/2014/main" id="{91BA640B-C67C-9F1E-FEE0-D638F5A656B6}"/>
              </a:ext>
            </a:extLst>
          </xdr:cNvPr>
          <xdr:cNvSpPr/>
        </xdr:nvSpPr>
        <xdr:spPr>
          <a:xfrm>
            <a:off x="975349" y="17526"/>
            <a:ext cx="0" cy="2338578"/>
          </a:xfrm>
          <a:custGeom>
            <a:avLst/>
            <a:gdLst/>
            <a:ahLst/>
            <a:cxnLst/>
            <a:rect l="0" t="0" r="0" b="0"/>
            <a:pathLst>
              <a:path h="2338578">
                <a:moveTo>
                  <a:pt x="0" y="0"/>
                </a:moveTo>
                <a:lnTo>
                  <a:pt x="0" y="2338578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6" name="Shape 13708">
            <a:extLst>
              <a:ext uri="{FF2B5EF4-FFF2-40B4-BE49-F238E27FC236}">
                <a16:creationId xmlns:a16="http://schemas.microsoft.com/office/drawing/2014/main" id="{06B04C01-7B46-8DD4-723C-2C51310E5C3D}"/>
              </a:ext>
            </a:extLst>
          </xdr:cNvPr>
          <xdr:cNvSpPr/>
        </xdr:nvSpPr>
        <xdr:spPr>
          <a:xfrm>
            <a:off x="1366255" y="9144"/>
            <a:ext cx="0" cy="2337816"/>
          </a:xfrm>
          <a:custGeom>
            <a:avLst/>
            <a:gdLst/>
            <a:ahLst/>
            <a:cxnLst/>
            <a:rect l="0" t="0" r="0" b="0"/>
            <a:pathLst>
              <a:path h="2337816">
                <a:moveTo>
                  <a:pt x="0" y="0"/>
                </a:moveTo>
                <a:lnTo>
                  <a:pt x="0" y="2337816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7" name="Shape 13709">
            <a:extLst>
              <a:ext uri="{FF2B5EF4-FFF2-40B4-BE49-F238E27FC236}">
                <a16:creationId xmlns:a16="http://schemas.microsoft.com/office/drawing/2014/main" id="{B109C38A-5917-6A42-CE3C-6B24C0D1B636}"/>
              </a:ext>
            </a:extLst>
          </xdr:cNvPr>
          <xdr:cNvSpPr/>
        </xdr:nvSpPr>
        <xdr:spPr>
          <a:xfrm>
            <a:off x="1757923" y="9144"/>
            <a:ext cx="0" cy="2337816"/>
          </a:xfrm>
          <a:custGeom>
            <a:avLst/>
            <a:gdLst/>
            <a:ahLst/>
            <a:cxnLst/>
            <a:rect l="0" t="0" r="0" b="0"/>
            <a:pathLst>
              <a:path h="2337816">
                <a:moveTo>
                  <a:pt x="0" y="0"/>
                </a:moveTo>
                <a:lnTo>
                  <a:pt x="0" y="2337816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8" name="Shape 13710">
            <a:extLst>
              <a:ext uri="{FF2B5EF4-FFF2-40B4-BE49-F238E27FC236}">
                <a16:creationId xmlns:a16="http://schemas.microsoft.com/office/drawing/2014/main" id="{138906A0-E8CD-C745-F25F-DFC9A23108C0}"/>
              </a:ext>
            </a:extLst>
          </xdr:cNvPr>
          <xdr:cNvSpPr/>
        </xdr:nvSpPr>
        <xdr:spPr>
          <a:xfrm>
            <a:off x="2148829" y="0"/>
            <a:ext cx="0" cy="2337816"/>
          </a:xfrm>
          <a:custGeom>
            <a:avLst/>
            <a:gdLst/>
            <a:ahLst/>
            <a:cxnLst/>
            <a:rect l="0" t="0" r="0" b="0"/>
            <a:pathLst>
              <a:path h="2337816">
                <a:moveTo>
                  <a:pt x="0" y="0"/>
                </a:moveTo>
                <a:lnTo>
                  <a:pt x="0" y="2337816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49" name="Shape 13711">
            <a:extLst>
              <a:ext uri="{FF2B5EF4-FFF2-40B4-BE49-F238E27FC236}">
                <a16:creationId xmlns:a16="http://schemas.microsoft.com/office/drawing/2014/main" id="{70A0604C-2881-6669-F515-526625F31ECF}"/>
              </a:ext>
            </a:extLst>
          </xdr:cNvPr>
          <xdr:cNvSpPr/>
        </xdr:nvSpPr>
        <xdr:spPr>
          <a:xfrm>
            <a:off x="2522209" y="17526"/>
            <a:ext cx="0" cy="2338578"/>
          </a:xfrm>
          <a:custGeom>
            <a:avLst/>
            <a:gdLst/>
            <a:ahLst/>
            <a:cxnLst/>
            <a:rect l="0" t="0" r="0" b="0"/>
            <a:pathLst>
              <a:path h="2338578">
                <a:moveTo>
                  <a:pt x="0" y="0"/>
                </a:moveTo>
                <a:lnTo>
                  <a:pt x="0" y="2338578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0" name="Shape 13712">
            <a:extLst>
              <a:ext uri="{FF2B5EF4-FFF2-40B4-BE49-F238E27FC236}">
                <a16:creationId xmlns:a16="http://schemas.microsoft.com/office/drawing/2014/main" id="{9CE80F85-699F-6883-8637-E5B9C588C8AE}"/>
              </a:ext>
            </a:extLst>
          </xdr:cNvPr>
          <xdr:cNvSpPr/>
        </xdr:nvSpPr>
        <xdr:spPr>
          <a:xfrm>
            <a:off x="575299" y="1956054"/>
            <a:ext cx="2337816" cy="0"/>
          </a:xfrm>
          <a:custGeom>
            <a:avLst/>
            <a:gdLst/>
            <a:ahLst/>
            <a:cxnLst/>
            <a:rect l="0" t="0" r="0" b="0"/>
            <a:pathLst>
              <a:path w="2337816">
                <a:moveTo>
                  <a:pt x="0" y="0"/>
                </a:moveTo>
                <a:lnTo>
                  <a:pt x="2337816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1" name="Shape 13713">
            <a:extLst>
              <a:ext uri="{FF2B5EF4-FFF2-40B4-BE49-F238E27FC236}">
                <a16:creationId xmlns:a16="http://schemas.microsoft.com/office/drawing/2014/main" id="{F7E75BDE-C854-2688-FA7A-1B1FCA766F19}"/>
              </a:ext>
            </a:extLst>
          </xdr:cNvPr>
          <xdr:cNvSpPr/>
        </xdr:nvSpPr>
        <xdr:spPr>
          <a:xfrm>
            <a:off x="575299" y="1564386"/>
            <a:ext cx="2337816" cy="0"/>
          </a:xfrm>
          <a:custGeom>
            <a:avLst/>
            <a:gdLst/>
            <a:ahLst/>
            <a:cxnLst/>
            <a:rect l="0" t="0" r="0" b="0"/>
            <a:pathLst>
              <a:path w="2337816">
                <a:moveTo>
                  <a:pt x="0" y="0"/>
                </a:moveTo>
                <a:lnTo>
                  <a:pt x="2337816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2" name="Shape 13714">
            <a:extLst>
              <a:ext uri="{FF2B5EF4-FFF2-40B4-BE49-F238E27FC236}">
                <a16:creationId xmlns:a16="http://schemas.microsoft.com/office/drawing/2014/main" id="{EFF0101C-34D9-E484-D971-BAFA8B583496}"/>
              </a:ext>
            </a:extLst>
          </xdr:cNvPr>
          <xdr:cNvSpPr/>
        </xdr:nvSpPr>
        <xdr:spPr>
          <a:xfrm>
            <a:off x="582157" y="1191006"/>
            <a:ext cx="2337816" cy="0"/>
          </a:xfrm>
          <a:custGeom>
            <a:avLst/>
            <a:gdLst/>
            <a:ahLst/>
            <a:cxnLst/>
            <a:rect l="0" t="0" r="0" b="0"/>
            <a:pathLst>
              <a:path w="2337816">
                <a:moveTo>
                  <a:pt x="0" y="0"/>
                </a:moveTo>
                <a:lnTo>
                  <a:pt x="2337816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3" name="Shape 13715">
            <a:extLst>
              <a:ext uri="{FF2B5EF4-FFF2-40B4-BE49-F238E27FC236}">
                <a16:creationId xmlns:a16="http://schemas.microsoft.com/office/drawing/2014/main" id="{A59CED4C-44C7-A1E3-9332-818C4D0F0E18}"/>
              </a:ext>
            </a:extLst>
          </xdr:cNvPr>
          <xdr:cNvSpPr/>
        </xdr:nvSpPr>
        <xdr:spPr>
          <a:xfrm>
            <a:off x="582157" y="800100"/>
            <a:ext cx="2337816" cy="0"/>
          </a:xfrm>
          <a:custGeom>
            <a:avLst/>
            <a:gdLst/>
            <a:ahLst/>
            <a:cxnLst/>
            <a:rect l="0" t="0" r="0" b="0"/>
            <a:pathLst>
              <a:path w="2337816">
                <a:moveTo>
                  <a:pt x="0" y="0"/>
                </a:moveTo>
                <a:lnTo>
                  <a:pt x="2337816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4" name="Shape 13716">
            <a:extLst>
              <a:ext uri="{FF2B5EF4-FFF2-40B4-BE49-F238E27FC236}">
                <a16:creationId xmlns:a16="http://schemas.microsoft.com/office/drawing/2014/main" id="{32B8651D-A47F-663C-352A-12C7B69BE6E8}"/>
              </a:ext>
            </a:extLst>
          </xdr:cNvPr>
          <xdr:cNvSpPr/>
        </xdr:nvSpPr>
        <xdr:spPr>
          <a:xfrm>
            <a:off x="592063" y="418338"/>
            <a:ext cx="2338578" cy="0"/>
          </a:xfrm>
          <a:custGeom>
            <a:avLst/>
            <a:gdLst/>
            <a:ahLst/>
            <a:cxnLst/>
            <a:rect l="0" t="0" r="0" b="0"/>
            <a:pathLst>
              <a:path w="2338578">
                <a:moveTo>
                  <a:pt x="0" y="0"/>
                </a:moveTo>
                <a:lnTo>
                  <a:pt x="2338578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5" name="Rectangle 54">
            <a:extLst>
              <a:ext uri="{FF2B5EF4-FFF2-40B4-BE49-F238E27FC236}">
                <a16:creationId xmlns:a16="http://schemas.microsoft.com/office/drawing/2014/main" id="{5CE54EE5-800E-0804-ACA9-DA6EC6814463}"/>
              </a:ext>
            </a:extLst>
          </xdr:cNvPr>
          <xdr:cNvSpPr/>
        </xdr:nvSpPr>
        <xdr:spPr>
          <a:xfrm>
            <a:off x="0" y="652928"/>
            <a:ext cx="122225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C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33BA8A6A-B1C3-856E-95A5-D87148EE187B}"/>
              </a:ext>
            </a:extLst>
          </xdr:cNvPr>
          <xdr:cNvSpPr/>
        </xdr:nvSpPr>
        <xdr:spPr>
          <a:xfrm>
            <a:off x="91429" y="712665"/>
            <a:ext cx="60827" cy="12215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57" name="Shape 13719">
            <a:extLst>
              <a:ext uri="{FF2B5EF4-FFF2-40B4-BE49-F238E27FC236}">
                <a16:creationId xmlns:a16="http://schemas.microsoft.com/office/drawing/2014/main" id="{4B70C16C-F6F0-9B45-5F94-F2145DA93735}"/>
              </a:ext>
            </a:extLst>
          </xdr:cNvPr>
          <xdr:cNvSpPr/>
        </xdr:nvSpPr>
        <xdr:spPr>
          <a:xfrm>
            <a:off x="60949" y="186690"/>
            <a:ext cx="51054" cy="467106"/>
          </a:xfrm>
          <a:custGeom>
            <a:avLst/>
            <a:gdLst/>
            <a:ahLst/>
            <a:cxnLst/>
            <a:rect l="0" t="0" r="0" b="0"/>
            <a:pathLst>
              <a:path w="51054" h="467106">
                <a:moveTo>
                  <a:pt x="25146" y="0"/>
                </a:moveTo>
                <a:lnTo>
                  <a:pt x="51054" y="76200"/>
                </a:lnTo>
                <a:lnTo>
                  <a:pt x="30480" y="76200"/>
                </a:lnTo>
                <a:lnTo>
                  <a:pt x="30480" y="462534"/>
                </a:lnTo>
                <a:cubicBezTo>
                  <a:pt x="30480" y="464820"/>
                  <a:pt x="28194" y="467106"/>
                  <a:pt x="25146" y="467106"/>
                </a:cubicBezTo>
                <a:cubicBezTo>
                  <a:pt x="22860" y="467106"/>
                  <a:pt x="20574" y="464820"/>
                  <a:pt x="20574" y="462534"/>
                </a:cubicBezTo>
                <a:lnTo>
                  <a:pt x="20574" y="76200"/>
                </a:lnTo>
                <a:lnTo>
                  <a:pt x="0" y="76200"/>
                </a:lnTo>
                <a:lnTo>
                  <a:pt x="25146" y="0"/>
                </a:ln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8" name="Shape 13720">
            <a:extLst>
              <a:ext uri="{FF2B5EF4-FFF2-40B4-BE49-F238E27FC236}">
                <a16:creationId xmlns:a16="http://schemas.microsoft.com/office/drawing/2014/main" id="{F6DF8027-6CE7-A27C-BC99-24562D7FED82}"/>
              </a:ext>
            </a:extLst>
          </xdr:cNvPr>
          <xdr:cNvSpPr/>
        </xdr:nvSpPr>
        <xdr:spPr>
          <a:xfrm>
            <a:off x="1162801" y="1335786"/>
            <a:ext cx="155448" cy="294894"/>
          </a:xfrm>
          <a:custGeom>
            <a:avLst/>
            <a:gdLst/>
            <a:ahLst/>
            <a:cxnLst/>
            <a:rect l="0" t="0" r="0" b="0"/>
            <a:pathLst>
              <a:path w="155448" h="294894">
                <a:moveTo>
                  <a:pt x="140970" y="0"/>
                </a:moveTo>
                <a:lnTo>
                  <a:pt x="141732" y="84582"/>
                </a:lnTo>
                <a:lnTo>
                  <a:pt x="121370" y="49966"/>
                </a:lnTo>
                <a:lnTo>
                  <a:pt x="12242" y="276278"/>
                </a:lnTo>
                <a:lnTo>
                  <a:pt x="150876" y="284988"/>
                </a:lnTo>
                <a:cubicBezTo>
                  <a:pt x="153162" y="284988"/>
                  <a:pt x="155448" y="287274"/>
                  <a:pt x="155448" y="290323"/>
                </a:cubicBezTo>
                <a:cubicBezTo>
                  <a:pt x="154686" y="292609"/>
                  <a:pt x="152400" y="294894"/>
                  <a:pt x="150114" y="294894"/>
                </a:cubicBezTo>
                <a:lnTo>
                  <a:pt x="4572" y="284988"/>
                </a:lnTo>
                <a:cubicBezTo>
                  <a:pt x="3048" y="284988"/>
                  <a:pt x="1524" y="284226"/>
                  <a:pt x="762" y="282702"/>
                </a:cubicBezTo>
                <a:cubicBezTo>
                  <a:pt x="0" y="281178"/>
                  <a:pt x="0" y="279654"/>
                  <a:pt x="762" y="278130"/>
                </a:cubicBezTo>
                <a:lnTo>
                  <a:pt x="112803" y="46530"/>
                </a:lnTo>
                <a:lnTo>
                  <a:pt x="73152" y="51816"/>
                </a:lnTo>
                <a:lnTo>
                  <a:pt x="140970" y="0"/>
                </a:ln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59" name="Shape 13721">
            <a:extLst>
              <a:ext uri="{FF2B5EF4-FFF2-40B4-BE49-F238E27FC236}">
                <a16:creationId xmlns:a16="http://schemas.microsoft.com/office/drawing/2014/main" id="{10F200CD-C3CD-4078-8269-C6F344EE552B}"/>
              </a:ext>
            </a:extLst>
          </xdr:cNvPr>
          <xdr:cNvSpPr/>
        </xdr:nvSpPr>
        <xdr:spPr>
          <a:xfrm>
            <a:off x="1932420" y="1579626"/>
            <a:ext cx="209550" cy="249936"/>
          </a:xfrm>
          <a:custGeom>
            <a:avLst/>
            <a:gdLst/>
            <a:ahLst/>
            <a:cxnLst/>
            <a:rect l="0" t="0" r="0" b="0"/>
            <a:pathLst>
              <a:path w="209550" h="249936">
                <a:moveTo>
                  <a:pt x="204216" y="0"/>
                </a:moveTo>
                <a:lnTo>
                  <a:pt x="209550" y="85344"/>
                </a:lnTo>
                <a:lnTo>
                  <a:pt x="187583" y="52060"/>
                </a:lnTo>
                <a:lnTo>
                  <a:pt x="108966" y="237744"/>
                </a:lnTo>
                <a:cubicBezTo>
                  <a:pt x="108204" y="239268"/>
                  <a:pt x="106680" y="240792"/>
                  <a:pt x="105156" y="240792"/>
                </a:cubicBezTo>
                <a:lnTo>
                  <a:pt x="5334" y="249936"/>
                </a:lnTo>
                <a:cubicBezTo>
                  <a:pt x="3048" y="249936"/>
                  <a:pt x="762" y="247650"/>
                  <a:pt x="0" y="245364"/>
                </a:cubicBezTo>
                <a:cubicBezTo>
                  <a:pt x="0" y="242316"/>
                  <a:pt x="1524" y="240030"/>
                  <a:pt x="4572" y="240030"/>
                </a:cubicBezTo>
                <a:lnTo>
                  <a:pt x="101761" y="231127"/>
                </a:lnTo>
                <a:lnTo>
                  <a:pt x="178404" y="48363"/>
                </a:lnTo>
                <a:lnTo>
                  <a:pt x="139446" y="55626"/>
                </a:lnTo>
                <a:lnTo>
                  <a:pt x="204216" y="0"/>
                </a:ln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0" name="Shape 13722">
            <a:extLst>
              <a:ext uri="{FF2B5EF4-FFF2-40B4-BE49-F238E27FC236}">
                <a16:creationId xmlns:a16="http://schemas.microsoft.com/office/drawing/2014/main" id="{DD42447C-FF08-6A81-9540-7195B0A7F013}"/>
              </a:ext>
            </a:extLst>
          </xdr:cNvPr>
          <xdr:cNvSpPr/>
        </xdr:nvSpPr>
        <xdr:spPr>
          <a:xfrm>
            <a:off x="1629145" y="905256"/>
            <a:ext cx="321564" cy="445008"/>
          </a:xfrm>
          <a:custGeom>
            <a:avLst/>
            <a:gdLst/>
            <a:ahLst/>
            <a:cxnLst/>
            <a:rect l="0" t="0" r="0" b="0"/>
            <a:pathLst>
              <a:path w="321564" h="445008">
                <a:moveTo>
                  <a:pt x="199644" y="0"/>
                </a:moveTo>
                <a:lnTo>
                  <a:pt x="316992" y="0"/>
                </a:lnTo>
                <a:cubicBezTo>
                  <a:pt x="320040" y="0"/>
                  <a:pt x="321564" y="2286"/>
                  <a:pt x="321564" y="4572"/>
                </a:cubicBezTo>
                <a:cubicBezTo>
                  <a:pt x="321564" y="7620"/>
                  <a:pt x="320040" y="9906"/>
                  <a:pt x="316992" y="9906"/>
                </a:cubicBezTo>
                <a:lnTo>
                  <a:pt x="202857" y="9906"/>
                </a:lnTo>
                <a:lnTo>
                  <a:pt x="30057" y="397581"/>
                </a:lnTo>
                <a:lnTo>
                  <a:pt x="70104" y="390906"/>
                </a:lnTo>
                <a:lnTo>
                  <a:pt x="3810" y="445008"/>
                </a:lnTo>
                <a:lnTo>
                  <a:pt x="0" y="359664"/>
                </a:lnTo>
                <a:lnTo>
                  <a:pt x="21558" y="394022"/>
                </a:lnTo>
                <a:lnTo>
                  <a:pt x="195072" y="3048"/>
                </a:lnTo>
                <a:cubicBezTo>
                  <a:pt x="195834" y="1524"/>
                  <a:pt x="197358" y="0"/>
                  <a:pt x="199644" y="0"/>
                </a:cubicBez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1" name="Shape 13723">
            <a:extLst>
              <a:ext uri="{FF2B5EF4-FFF2-40B4-BE49-F238E27FC236}">
                <a16:creationId xmlns:a16="http://schemas.microsoft.com/office/drawing/2014/main" id="{10203EDF-3173-D244-B9EE-27E80A26D131}"/>
              </a:ext>
            </a:extLst>
          </xdr:cNvPr>
          <xdr:cNvSpPr/>
        </xdr:nvSpPr>
        <xdr:spPr>
          <a:xfrm>
            <a:off x="1530085" y="733044"/>
            <a:ext cx="258318" cy="368046"/>
          </a:xfrm>
          <a:custGeom>
            <a:avLst/>
            <a:gdLst/>
            <a:ahLst/>
            <a:cxnLst/>
            <a:rect l="0" t="0" r="0" b="0"/>
            <a:pathLst>
              <a:path w="258318" h="368046">
                <a:moveTo>
                  <a:pt x="252984" y="0"/>
                </a:moveTo>
                <a:cubicBezTo>
                  <a:pt x="256032" y="0"/>
                  <a:pt x="258318" y="1524"/>
                  <a:pt x="258318" y="4572"/>
                </a:cubicBezTo>
                <a:cubicBezTo>
                  <a:pt x="258318" y="6858"/>
                  <a:pt x="256794" y="9144"/>
                  <a:pt x="253746" y="9906"/>
                </a:cubicBezTo>
                <a:lnTo>
                  <a:pt x="157642" y="18038"/>
                </a:lnTo>
                <a:lnTo>
                  <a:pt x="30843" y="320405"/>
                </a:lnTo>
                <a:lnTo>
                  <a:pt x="70104" y="312420"/>
                </a:lnTo>
                <a:lnTo>
                  <a:pt x="5334" y="368046"/>
                </a:lnTo>
                <a:lnTo>
                  <a:pt x="0" y="283464"/>
                </a:lnTo>
                <a:lnTo>
                  <a:pt x="21764" y="316440"/>
                </a:lnTo>
                <a:lnTo>
                  <a:pt x="149352" y="12192"/>
                </a:lnTo>
                <a:cubicBezTo>
                  <a:pt x="150114" y="10668"/>
                  <a:pt x="151638" y="9144"/>
                  <a:pt x="153162" y="9144"/>
                </a:cubicBezTo>
                <a:lnTo>
                  <a:pt x="252984" y="0"/>
                </a:ln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2" name="Shape 13724">
            <a:extLst>
              <a:ext uri="{FF2B5EF4-FFF2-40B4-BE49-F238E27FC236}">
                <a16:creationId xmlns:a16="http://schemas.microsoft.com/office/drawing/2014/main" id="{AB96B009-4205-0F80-B284-BFC2DD2F94F1}"/>
              </a:ext>
            </a:extLst>
          </xdr:cNvPr>
          <xdr:cNvSpPr/>
        </xdr:nvSpPr>
        <xdr:spPr>
          <a:xfrm>
            <a:off x="1309867" y="226314"/>
            <a:ext cx="279654" cy="330708"/>
          </a:xfrm>
          <a:custGeom>
            <a:avLst/>
            <a:gdLst/>
            <a:ahLst/>
            <a:cxnLst/>
            <a:rect l="0" t="0" r="0" b="0"/>
            <a:pathLst>
              <a:path w="279654" h="330708">
                <a:moveTo>
                  <a:pt x="274320" y="0"/>
                </a:moveTo>
                <a:cubicBezTo>
                  <a:pt x="276606" y="0"/>
                  <a:pt x="278892" y="2286"/>
                  <a:pt x="278892" y="4572"/>
                </a:cubicBezTo>
                <a:cubicBezTo>
                  <a:pt x="279654" y="6858"/>
                  <a:pt x="277368" y="9144"/>
                  <a:pt x="275082" y="9906"/>
                </a:cubicBezTo>
                <a:lnTo>
                  <a:pt x="151437" y="18099"/>
                </a:lnTo>
                <a:lnTo>
                  <a:pt x="29659" y="283321"/>
                </a:lnTo>
                <a:lnTo>
                  <a:pt x="69342" y="277368"/>
                </a:lnTo>
                <a:lnTo>
                  <a:pt x="2286" y="330708"/>
                </a:lnTo>
                <a:lnTo>
                  <a:pt x="0" y="245364"/>
                </a:lnTo>
                <a:lnTo>
                  <a:pt x="21053" y="279999"/>
                </a:lnTo>
                <a:lnTo>
                  <a:pt x="144018" y="12192"/>
                </a:lnTo>
                <a:cubicBezTo>
                  <a:pt x="144780" y="9906"/>
                  <a:pt x="146304" y="9144"/>
                  <a:pt x="147828" y="9144"/>
                </a:cubicBezTo>
                <a:lnTo>
                  <a:pt x="274320" y="0"/>
                </a:ln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3" name="Shape 13725">
            <a:extLst>
              <a:ext uri="{FF2B5EF4-FFF2-40B4-BE49-F238E27FC236}">
                <a16:creationId xmlns:a16="http://schemas.microsoft.com/office/drawing/2014/main" id="{52AFE79A-3EC4-798A-4D92-26E9C68B30AC}"/>
              </a:ext>
            </a:extLst>
          </xdr:cNvPr>
          <xdr:cNvSpPr/>
        </xdr:nvSpPr>
        <xdr:spPr>
          <a:xfrm>
            <a:off x="1442455" y="507492"/>
            <a:ext cx="363474" cy="336042"/>
          </a:xfrm>
          <a:custGeom>
            <a:avLst/>
            <a:gdLst/>
            <a:ahLst/>
            <a:cxnLst/>
            <a:rect l="0" t="0" r="0" b="0"/>
            <a:pathLst>
              <a:path w="363474" h="336042">
                <a:moveTo>
                  <a:pt x="150876" y="0"/>
                </a:moveTo>
                <a:lnTo>
                  <a:pt x="358902" y="0"/>
                </a:lnTo>
                <a:cubicBezTo>
                  <a:pt x="361950" y="0"/>
                  <a:pt x="363474" y="1524"/>
                  <a:pt x="363474" y="4572"/>
                </a:cubicBezTo>
                <a:cubicBezTo>
                  <a:pt x="363474" y="6858"/>
                  <a:pt x="361950" y="9144"/>
                  <a:pt x="358902" y="9144"/>
                </a:cubicBezTo>
                <a:lnTo>
                  <a:pt x="154095" y="9144"/>
                </a:lnTo>
                <a:lnTo>
                  <a:pt x="30060" y="288598"/>
                </a:lnTo>
                <a:lnTo>
                  <a:pt x="69342" y="281940"/>
                </a:lnTo>
                <a:lnTo>
                  <a:pt x="3810" y="336042"/>
                </a:lnTo>
                <a:lnTo>
                  <a:pt x="0" y="250698"/>
                </a:lnTo>
                <a:lnTo>
                  <a:pt x="21555" y="285051"/>
                </a:lnTo>
                <a:lnTo>
                  <a:pt x="146304" y="2286"/>
                </a:lnTo>
                <a:cubicBezTo>
                  <a:pt x="147066" y="762"/>
                  <a:pt x="148590" y="0"/>
                  <a:pt x="150876" y="0"/>
                </a:cubicBez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4" name="Shape 13727">
            <a:extLst>
              <a:ext uri="{FF2B5EF4-FFF2-40B4-BE49-F238E27FC236}">
                <a16:creationId xmlns:a16="http://schemas.microsoft.com/office/drawing/2014/main" id="{6E263E1B-26E5-ACEA-E6F5-BECB1D957AA6}"/>
              </a:ext>
            </a:extLst>
          </xdr:cNvPr>
          <xdr:cNvSpPr/>
        </xdr:nvSpPr>
        <xdr:spPr>
          <a:xfrm>
            <a:off x="3784843" y="522732"/>
            <a:ext cx="400050" cy="542544"/>
          </a:xfrm>
          <a:custGeom>
            <a:avLst/>
            <a:gdLst/>
            <a:ahLst/>
            <a:cxnLst/>
            <a:rect l="0" t="0" r="0" b="0"/>
            <a:pathLst>
              <a:path w="400050" h="542544">
                <a:moveTo>
                  <a:pt x="400050" y="0"/>
                </a:moveTo>
                <a:lnTo>
                  <a:pt x="0" y="0"/>
                </a:lnTo>
                <a:lnTo>
                  <a:pt x="0" y="542544"/>
                </a:lnTo>
                <a:lnTo>
                  <a:pt x="400050" y="542544"/>
                </a:lnTo>
                <a:close/>
              </a:path>
            </a:pathLst>
          </a:custGeom>
          <a:ln w="9525" cap="rnd">
            <a:miter lim="101600"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5" name="Shape 13731">
            <a:extLst>
              <a:ext uri="{FF2B5EF4-FFF2-40B4-BE49-F238E27FC236}">
                <a16:creationId xmlns:a16="http://schemas.microsoft.com/office/drawing/2014/main" id="{42FCC0CD-3A2D-E8EE-8366-D5B1461372A8}"/>
              </a:ext>
            </a:extLst>
          </xdr:cNvPr>
          <xdr:cNvSpPr/>
        </xdr:nvSpPr>
        <xdr:spPr>
          <a:xfrm>
            <a:off x="3802369" y="1411986"/>
            <a:ext cx="400050" cy="701802"/>
          </a:xfrm>
          <a:custGeom>
            <a:avLst/>
            <a:gdLst/>
            <a:ahLst/>
            <a:cxnLst/>
            <a:rect l="0" t="0" r="0" b="0"/>
            <a:pathLst>
              <a:path w="400050" h="701802">
                <a:moveTo>
                  <a:pt x="400050" y="0"/>
                </a:moveTo>
                <a:lnTo>
                  <a:pt x="0" y="0"/>
                </a:lnTo>
                <a:lnTo>
                  <a:pt x="0" y="701802"/>
                </a:lnTo>
                <a:lnTo>
                  <a:pt x="400050" y="701802"/>
                </a:lnTo>
                <a:close/>
              </a:path>
            </a:pathLst>
          </a:custGeom>
          <a:ln w="9525" cap="rnd">
            <a:miter lim="101600"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4E61923C-BB54-7116-85CE-EE5D5309E034}"/>
              </a:ext>
            </a:extLst>
          </xdr:cNvPr>
          <xdr:cNvSpPr/>
        </xdr:nvSpPr>
        <xdr:spPr>
          <a:xfrm>
            <a:off x="3227059" y="699832"/>
            <a:ext cx="433139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Wind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7" name="Shape 13735">
            <a:extLst>
              <a:ext uri="{FF2B5EF4-FFF2-40B4-BE49-F238E27FC236}">
                <a16:creationId xmlns:a16="http://schemas.microsoft.com/office/drawing/2014/main" id="{9A778FD6-ECA4-B9E8-0533-80EBF811F3BC}"/>
              </a:ext>
            </a:extLst>
          </xdr:cNvPr>
          <xdr:cNvSpPr/>
        </xdr:nvSpPr>
        <xdr:spPr>
          <a:xfrm>
            <a:off x="3286495" y="826009"/>
            <a:ext cx="320040" cy="51053"/>
          </a:xfrm>
          <a:custGeom>
            <a:avLst/>
            <a:gdLst/>
            <a:ahLst/>
            <a:cxnLst/>
            <a:rect l="0" t="0" r="0" b="0"/>
            <a:pathLst>
              <a:path w="320040" h="51053">
                <a:moveTo>
                  <a:pt x="243840" y="0"/>
                </a:moveTo>
                <a:lnTo>
                  <a:pt x="320040" y="25908"/>
                </a:lnTo>
                <a:lnTo>
                  <a:pt x="243840" y="51053"/>
                </a:lnTo>
                <a:lnTo>
                  <a:pt x="243840" y="32004"/>
                </a:lnTo>
                <a:lnTo>
                  <a:pt x="0" y="32004"/>
                </a:lnTo>
                <a:lnTo>
                  <a:pt x="0" y="19050"/>
                </a:lnTo>
                <a:lnTo>
                  <a:pt x="243840" y="19050"/>
                </a:lnTo>
                <a:lnTo>
                  <a:pt x="243840" y="0"/>
                </a:lnTo>
                <a:close/>
              </a:path>
            </a:pathLst>
          </a:custGeom>
          <a:ln w="0" cap="rnd">
            <a:miter lim="101600"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68" name="Rectangle 67">
            <a:extLst>
              <a:ext uri="{FF2B5EF4-FFF2-40B4-BE49-F238E27FC236}">
                <a16:creationId xmlns:a16="http://schemas.microsoft.com/office/drawing/2014/main" id="{8D3AABB1-39F0-BD7E-BB6F-6C63C1D3543E}"/>
              </a:ext>
            </a:extLst>
          </xdr:cNvPr>
          <xdr:cNvSpPr/>
        </xdr:nvSpPr>
        <xdr:spPr>
          <a:xfrm>
            <a:off x="3929619" y="374459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a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69" name="Rectangle 68">
            <a:extLst>
              <a:ext uri="{FF2B5EF4-FFF2-40B4-BE49-F238E27FC236}">
                <a16:creationId xmlns:a16="http://schemas.microsoft.com/office/drawing/2014/main" id="{3A837565-CC6B-7479-FBB9-C7926E460D09}"/>
              </a:ext>
            </a:extLst>
          </xdr:cNvPr>
          <xdr:cNvSpPr/>
        </xdr:nvSpPr>
        <xdr:spPr>
          <a:xfrm>
            <a:off x="3867137" y="1082373"/>
            <a:ext cx="38558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Plan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0" name="Rectangle 69">
            <a:extLst>
              <a:ext uri="{FF2B5EF4-FFF2-40B4-BE49-F238E27FC236}">
                <a16:creationId xmlns:a16="http://schemas.microsoft.com/office/drawing/2014/main" id="{6A480A18-E001-A86D-8DE2-5C971B7930D7}"/>
              </a:ext>
            </a:extLst>
          </xdr:cNvPr>
          <xdr:cNvSpPr/>
        </xdr:nvSpPr>
        <xdr:spPr>
          <a:xfrm>
            <a:off x="3689593" y="673161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b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1" name="Rectangle 70">
            <a:extLst>
              <a:ext uri="{FF2B5EF4-FFF2-40B4-BE49-F238E27FC236}">
                <a16:creationId xmlns:a16="http://schemas.microsoft.com/office/drawing/2014/main" id="{A7BAB36F-BB30-501F-573B-8F4AF0F16311}"/>
              </a:ext>
            </a:extLst>
          </xdr:cNvPr>
          <xdr:cNvSpPr/>
        </xdr:nvSpPr>
        <xdr:spPr>
          <a:xfrm>
            <a:off x="4631425" y="717358"/>
            <a:ext cx="150444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2" name="Shape 13740">
            <a:extLst>
              <a:ext uri="{FF2B5EF4-FFF2-40B4-BE49-F238E27FC236}">
                <a16:creationId xmlns:a16="http://schemas.microsoft.com/office/drawing/2014/main" id="{2B0004C8-C680-4C87-5921-3F006BEE5A3F}"/>
              </a:ext>
            </a:extLst>
          </xdr:cNvPr>
          <xdr:cNvSpPr/>
        </xdr:nvSpPr>
        <xdr:spPr>
          <a:xfrm>
            <a:off x="4238233" y="764286"/>
            <a:ext cx="320040" cy="50292"/>
          </a:xfrm>
          <a:custGeom>
            <a:avLst/>
            <a:gdLst/>
            <a:ahLst/>
            <a:cxnLst/>
            <a:rect l="0" t="0" r="0" b="0"/>
            <a:pathLst>
              <a:path w="320040" h="50292">
                <a:moveTo>
                  <a:pt x="243840" y="0"/>
                </a:moveTo>
                <a:lnTo>
                  <a:pt x="320040" y="25147"/>
                </a:lnTo>
                <a:lnTo>
                  <a:pt x="243840" y="50292"/>
                </a:lnTo>
                <a:lnTo>
                  <a:pt x="243840" y="31242"/>
                </a:lnTo>
                <a:lnTo>
                  <a:pt x="0" y="31242"/>
                </a:lnTo>
                <a:lnTo>
                  <a:pt x="0" y="19050"/>
                </a:lnTo>
                <a:lnTo>
                  <a:pt x="243840" y="19050"/>
                </a:lnTo>
                <a:lnTo>
                  <a:pt x="243840" y="0"/>
                </a:lnTo>
                <a:close/>
              </a:path>
            </a:pathLst>
          </a:custGeom>
          <a:ln w="0" cap="rnd">
            <a:miter lim="101600"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73" name="Rectangle 72">
            <a:extLst>
              <a:ext uri="{FF2B5EF4-FFF2-40B4-BE49-F238E27FC236}">
                <a16:creationId xmlns:a16="http://schemas.microsoft.com/office/drawing/2014/main" id="{A36E455D-141F-69BA-ADA4-DC4592B2A6A6}"/>
              </a:ext>
            </a:extLst>
          </xdr:cNvPr>
          <xdr:cNvSpPr/>
        </xdr:nvSpPr>
        <xdr:spPr>
          <a:xfrm>
            <a:off x="4658095" y="1669096"/>
            <a:ext cx="150444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4" name="Shape 13742">
            <a:extLst>
              <a:ext uri="{FF2B5EF4-FFF2-40B4-BE49-F238E27FC236}">
                <a16:creationId xmlns:a16="http://schemas.microsoft.com/office/drawing/2014/main" id="{D6EE65BA-CC6A-1539-E039-0D7A38BBBD86}"/>
              </a:ext>
            </a:extLst>
          </xdr:cNvPr>
          <xdr:cNvSpPr/>
        </xdr:nvSpPr>
        <xdr:spPr>
          <a:xfrm>
            <a:off x="4264903" y="1715262"/>
            <a:ext cx="320040" cy="51054"/>
          </a:xfrm>
          <a:custGeom>
            <a:avLst/>
            <a:gdLst/>
            <a:ahLst/>
            <a:cxnLst/>
            <a:rect l="0" t="0" r="0" b="0"/>
            <a:pathLst>
              <a:path w="320040" h="51054">
                <a:moveTo>
                  <a:pt x="243840" y="0"/>
                </a:moveTo>
                <a:lnTo>
                  <a:pt x="320040" y="25147"/>
                </a:lnTo>
                <a:lnTo>
                  <a:pt x="243840" y="51054"/>
                </a:lnTo>
                <a:lnTo>
                  <a:pt x="243840" y="32004"/>
                </a:lnTo>
                <a:lnTo>
                  <a:pt x="0" y="32004"/>
                </a:lnTo>
                <a:lnTo>
                  <a:pt x="0" y="19050"/>
                </a:lnTo>
                <a:lnTo>
                  <a:pt x="243840" y="19050"/>
                </a:lnTo>
                <a:lnTo>
                  <a:pt x="243840" y="0"/>
                </a:lnTo>
                <a:close/>
              </a:path>
            </a:pathLst>
          </a:custGeom>
          <a:ln w="0" cap="rnd">
            <a:miter lim="101600"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75" name="Shape 13743">
            <a:extLst>
              <a:ext uri="{FF2B5EF4-FFF2-40B4-BE49-F238E27FC236}">
                <a16:creationId xmlns:a16="http://schemas.microsoft.com/office/drawing/2014/main" id="{3F4BE54E-0B78-B2A0-E38A-EE7BA959AEAB}"/>
              </a:ext>
            </a:extLst>
          </xdr:cNvPr>
          <xdr:cNvSpPr/>
        </xdr:nvSpPr>
        <xdr:spPr>
          <a:xfrm>
            <a:off x="3375649" y="1741932"/>
            <a:ext cx="320040" cy="51053"/>
          </a:xfrm>
          <a:custGeom>
            <a:avLst/>
            <a:gdLst/>
            <a:ahLst/>
            <a:cxnLst/>
            <a:rect l="0" t="0" r="0" b="0"/>
            <a:pathLst>
              <a:path w="320040" h="51053">
                <a:moveTo>
                  <a:pt x="243840" y="0"/>
                </a:moveTo>
                <a:lnTo>
                  <a:pt x="320040" y="25146"/>
                </a:lnTo>
                <a:lnTo>
                  <a:pt x="243840" y="51053"/>
                </a:lnTo>
                <a:lnTo>
                  <a:pt x="243840" y="32004"/>
                </a:lnTo>
                <a:lnTo>
                  <a:pt x="0" y="32004"/>
                </a:lnTo>
                <a:lnTo>
                  <a:pt x="0" y="19050"/>
                </a:lnTo>
                <a:lnTo>
                  <a:pt x="243840" y="19050"/>
                </a:lnTo>
                <a:lnTo>
                  <a:pt x="243840" y="0"/>
                </a:lnTo>
                <a:close/>
              </a:path>
            </a:pathLst>
          </a:custGeom>
          <a:ln w="0" cap="rnd">
            <a:miter lim="101600"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76" name="Rectangle 75">
            <a:extLst>
              <a:ext uri="{FF2B5EF4-FFF2-40B4-BE49-F238E27FC236}">
                <a16:creationId xmlns:a16="http://schemas.microsoft.com/office/drawing/2014/main" id="{FFFB3F3C-38A7-D074-210D-82476E47FD97}"/>
              </a:ext>
            </a:extLst>
          </xdr:cNvPr>
          <xdr:cNvSpPr/>
        </xdr:nvSpPr>
        <xdr:spPr>
          <a:xfrm>
            <a:off x="3697975" y="1713292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77" name="Shape 13745">
            <a:extLst>
              <a:ext uri="{FF2B5EF4-FFF2-40B4-BE49-F238E27FC236}">
                <a16:creationId xmlns:a16="http://schemas.microsoft.com/office/drawing/2014/main" id="{11F7F743-2ADB-56A2-488D-375ECB697BB0}"/>
              </a:ext>
            </a:extLst>
          </xdr:cNvPr>
          <xdr:cNvSpPr/>
        </xdr:nvSpPr>
        <xdr:spPr>
          <a:xfrm>
            <a:off x="3560815" y="2113026"/>
            <a:ext cx="942594" cy="0"/>
          </a:xfrm>
          <a:custGeom>
            <a:avLst/>
            <a:gdLst/>
            <a:ahLst/>
            <a:cxnLst/>
            <a:rect l="0" t="0" r="0" b="0"/>
            <a:pathLst>
              <a:path w="942594">
                <a:moveTo>
                  <a:pt x="0" y="0"/>
                </a:moveTo>
                <a:lnTo>
                  <a:pt x="942594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pic>
        <xdr:nvPicPr>
          <xdr:cNvPr id="78" name="Picture 77">
            <a:extLst>
              <a:ext uri="{FF2B5EF4-FFF2-40B4-BE49-F238E27FC236}">
                <a16:creationId xmlns:a16="http://schemas.microsoft.com/office/drawing/2014/main" id="{F7EFA6D6-660E-7B09-6847-F6606C1AFEB2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3600693" y="2116328"/>
            <a:ext cx="905256" cy="88392"/>
          </a:xfrm>
          <a:prstGeom prst="rect">
            <a:avLst/>
          </a:prstGeom>
        </xdr:spPr>
      </xdr:pic>
      <xdr:sp macro="" textlink="">
        <xdr:nvSpPr>
          <xdr:cNvPr id="79" name="Rectangle 78">
            <a:extLst>
              <a:ext uri="{FF2B5EF4-FFF2-40B4-BE49-F238E27FC236}">
                <a16:creationId xmlns:a16="http://schemas.microsoft.com/office/drawing/2014/main" id="{D827A987-B673-6C26-515D-BEEE6DF4742B}"/>
              </a:ext>
            </a:extLst>
          </xdr:cNvPr>
          <xdr:cNvSpPr/>
        </xdr:nvSpPr>
        <xdr:spPr>
          <a:xfrm>
            <a:off x="3724645" y="2229166"/>
            <a:ext cx="742406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Elevation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0" name="Rectangle 79">
            <a:extLst>
              <a:ext uri="{FF2B5EF4-FFF2-40B4-BE49-F238E27FC236}">
                <a16:creationId xmlns:a16="http://schemas.microsoft.com/office/drawing/2014/main" id="{DE69BAC5-67B9-AD80-D360-B5A8F7B711FE}"/>
              </a:ext>
            </a:extLst>
          </xdr:cNvPr>
          <xdr:cNvSpPr/>
        </xdr:nvSpPr>
        <xdr:spPr>
          <a:xfrm>
            <a:off x="3662927" y="2527453"/>
            <a:ext cx="418240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 = C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1" name="Rectangle 80">
            <a:extLst>
              <a:ext uri="{FF2B5EF4-FFF2-40B4-BE49-F238E27FC236}">
                <a16:creationId xmlns:a16="http://schemas.microsoft.com/office/drawing/2014/main" id="{65303A21-51CA-2BEE-920D-FD61A2EA73A9}"/>
              </a:ext>
            </a:extLst>
          </xdr:cNvPr>
          <xdr:cNvSpPr/>
        </xdr:nvSpPr>
        <xdr:spPr>
          <a:xfrm>
            <a:off x="3976867" y="2587185"/>
            <a:ext cx="30410" cy="12215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2" name="Rectangle 81">
            <a:extLst>
              <a:ext uri="{FF2B5EF4-FFF2-40B4-BE49-F238E27FC236}">
                <a16:creationId xmlns:a16="http://schemas.microsoft.com/office/drawing/2014/main" id="{0C0719C4-FCC5-A02C-3B74-D75FD6A38D70}"/>
              </a:ext>
            </a:extLst>
          </xdr:cNvPr>
          <xdr:cNvSpPr/>
        </xdr:nvSpPr>
        <xdr:spPr>
          <a:xfrm>
            <a:off x="3999727" y="2527447"/>
            <a:ext cx="140772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p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3" name="Rectangle 82">
            <a:extLst>
              <a:ext uri="{FF2B5EF4-FFF2-40B4-BE49-F238E27FC236}">
                <a16:creationId xmlns:a16="http://schemas.microsoft.com/office/drawing/2014/main" id="{A6D07CFE-C111-2D57-7223-7E314B40E739}"/>
              </a:ext>
            </a:extLst>
          </xdr:cNvPr>
          <xdr:cNvSpPr/>
        </xdr:nvSpPr>
        <xdr:spPr>
          <a:xfrm>
            <a:off x="4105645" y="2587185"/>
            <a:ext cx="60873" cy="12215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d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4" name="Rectangle 83">
            <a:extLst>
              <a:ext uri="{FF2B5EF4-FFF2-40B4-BE49-F238E27FC236}">
                <a16:creationId xmlns:a16="http://schemas.microsoft.com/office/drawing/2014/main" id="{F6C3D475-15A7-0069-4F0A-90AFE9A10A97}"/>
              </a:ext>
            </a:extLst>
          </xdr:cNvPr>
          <xdr:cNvSpPr/>
        </xdr:nvSpPr>
        <xdr:spPr>
          <a:xfrm>
            <a:off x="4151365" y="2527447"/>
            <a:ext cx="281837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bh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5" name="Rectangle 84">
            <a:extLst>
              <a:ext uri="{FF2B5EF4-FFF2-40B4-BE49-F238E27FC236}">
                <a16:creationId xmlns:a16="http://schemas.microsoft.com/office/drawing/2014/main" id="{E37EB787-0E62-ACF0-EF1E-FB1A437A6785}"/>
              </a:ext>
            </a:extLst>
          </xdr:cNvPr>
          <xdr:cNvSpPr/>
        </xdr:nvSpPr>
        <xdr:spPr>
          <a:xfrm>
            <a:off x="1573519" y="2528209"/>
            <a:ext cx="282226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a/b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6" name="Rectangle 85">
            <a:extLst>
              <a:ext uri="{FF2B5EF4-FFF2-40B4-BE49-F238E27FC236}">
                <a16:creationId xmlns:a16="http://schemas.microsoft.com/office/drawing/2014/main" id="{0B535F86-83D6-DBB0-5162-8F0B7310AE4E}"/>
              </a:ext>
            </a:extLst>
          </xdr:cNvPr>
          <xdr:cNvSpPr/>
        </xdr:nvSpPr>
        <xdr:spPr>
          <a:xfrm>
            <a:off x="1785355" y="2587947"/>
            <a:ext cx="30410" cy="12215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87" name="Shape 13755">
            <a:extLst>
              <a:ext uri="{FF2B5EF4-FFF2-40B4-BE49-F238E27FC236}">
                <a16:creationId xmlns:a16="http://schemas.microsoft.com/office/drawing/2014/main" id="{3BAD6F07-D86B-0CA9-9724-4F637E814337}"/>
              </a:ext>
            </a:extLst>
          </xdr:cNvPr>
          <xdr:cNvSpPr/>
        </xdr:nvSpPr>
        <xdr:spPr>
          <a:xfrm>
            <a:off x="1832599" y="2577846"/>
            <a:ext cx="422910" cy="51054"/>
          </a:xfrm>
          <a:custGeom>
            <a:avLst/>
            <a:gdLst/>
            <a:ahLst/>
            <a:cxnLst/>
            <a:rect l="0" t="0" r="0" b="0"/>
            <a:pathLst>
              <a:path w="422910" h="51054">
                <a:moveTo>
                  <a:pt x="346710" y="0"/>
                </a:moveTo>
                <a:lnTo>
                  <a:pt x="422910" y="25908"/>
                </a:lnTo>
                <a:lnTo>
                  <a:pt x="346710" y="51054"/>
                </a:lnTo>
                <a:lnTo>
                  <a:pt x="346710" y="30480"/>
                </a:lnTo>
                <a:lnTo>
                  <a:pt x="5334" y="30480"/>
                </a:lnTo>
                <a:cubicBezTo>
                  <a:pt x="2286" y="30480"/>
                  <a:pt x="0" y="28194"/>
                  <a:pt x="0" y="25908"/>
                </a:cubicBezTo>
                <a:cubicBezTo>
                  <a:pt x="0" y="22861"/>
                  <a:pt x="2286" y="21337"/>
                  <a:pt x="5334" y="21337"/>
                </a:cubicBezTo>
                <a:lnTo>
                  <a:pt x="346710" y="21337"/>
                </a:lnTo>
                <a:lnTo>
                  <a:pt x="346710" y="0"/>
                </a:ln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</xdr:grpSp>
    <xdr:clientData/>
  </xdr:twoCellAnchor>
  <xdr:twoCellAnchor>
    <xdr:from>
      <xdr:col>10</xdr:col>
      <xdr:colOff>160020</xdr:colOff>
      <xdr:row>16</xdr:row>
      <xdr:rowOff>68580</xdr:rowOff>
    </xdr:from>
    <xdr:to>
      <xdr:col>15</xdr:col>
      <xdr:colOff>519103</xdr:colOff>
      <xdr:row>28</xdr:row>
      <xdr:rowOff>42904</xdr:rowOff>
    </xdr:to>
    <xdr:grpSp>
      <xdr:nvGrpSpPr>
        <xdr:cNvPr id="174" name="Group 173">
          <a:extLst>
            <a:ext uri="{FF2B5EF4-FFF2-40B4-BE49-F238E27FC236}">
              <a16:creationId xmlns:a16="http://schemas.microsoft.com/office/drawing/2014/main" id="{E7AE7D57-700C-4C88-8276-69AE8687E349}"/>
            </a:ext>
          </a:extLst>
        </xdr:cNvPr>
        <xdr:cNvGrpSpPr/>
      </xdr:nvGrpSpPr>
      <xdr:grpSpPr>
        <a:xfrm>
          <a:off x="6284595" y="3316605"/>
          <a:ext cx="3407083" cy="2260324"/>
          <a:chOff x="0" y="0"/>
          <a:chExt cx="3407685" cy="2169524"/>
        </a:xfrm>
      </xdr:grpSpPr>
      <xdr:sp macro="" textlink="">
        <xdr:nvSpPr>
          <xdr:cNvPr id="175" name="Rectangle 174">
            <a:extLst>
              <a:ext uri="{FF2B5EF4-FFF2-40B4-BE49-F238E27FC236}">
                <a16:creationId xmlns:a16="http://schemas.microsoft.com/office/drawing/2014/main" id="{FA2EAF9B-BDFC-D364-71ED-A42864613FC8}"/>
              </a:ext>
            </a:extLst>
          </xdr:cNvPr>
          <xdr:cNvSpPr/>
        </xdr:nvSpPr>
        <xdr:spPr>
          <a:xfrm>
            <a:off x="366483" y="1987225"/>
            <a:ext cx="1002188" cy="17432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B Values of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6" name="Rectangle 175">
            <a:extLst>
              <a:ext uri="{FF2B5EF4-FFF2-40B4-BE49-F238E27FC236}">
                <a16:creationId xmlns:a16="http://schemas.microsoft.com/office/drawing/2014/main" id="{04E27ECC-5760-EB67-38BA-1E231DC8E22D}"/>
              </a:ext>
            </a:extLst>
          </xdr:cNvPr>
          <xdr:cNvSpPr/>
        </xdr:nvSpPr>
        <xdr:spPr>
          <a:xfrm>
            <a:off x="288798" y="1987225"/>
            <a:ext cx="103117" cy="17432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6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7" name="Rectangle 176">
            <a:extLst>
              <a:ext uri="{FF2B5EF4-FFF2-40B4-BE49-F238E27FC236}">
                <a16:creationId xmlns:a16="http://schemas.microsoft.com/office/drawing/2014/main" id="{952ED814-E805-9BF5-9C35-6C2016CAD5D6}"/>
              </a:ext>
            </a:extLst>
          </xdr:cNvPr>
          <xdr:cNvSpPr/>
        </xdr:nvSpPr>
        <xdr:spPr>
          <a:xfrm>
            <a:off x="1120133" y="1962547"/>
            <a:ext cx="133935" cy="20697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C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8" name="Rectangle 177">
            <a:extLst>
              <a:ext uri="{FF2B5EF4-FFF2-40B4-BE49-F238E27FC236}">
                <a16:creationId xmlns:a16="http://schemas.microsoft.com/office/drawing/2014/main" id="{600C9BE8-40E4-5A86-4F93-205C9D0387D3}"/>
              </a:ext>
            </a:extLst>
          </xdr:cNvPr>
          <xdr:cNvSpPr/>
        </xdr:nvSpPr>
        <xdr:spPr>
          <a:xfrm>
            <a:off x="1220724" y="2027111"/>
            <a:ext cx="32944" cy="13233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7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79" name="Rectangle 178">
            <a:extLst>
              <a:ext uri="{FF2B5EF4-FFF2-40B4-BE49-F238E27FC236}">
                <a16:creationId xmlns:a16="http://schemas.microsoft.com/office/drawing/2014/main" id="{FD9CDDCA-2DAE-1656-5B2B-E8982158128D}"/>
              </a:ext>
            </a:extLst>
          </xdr:cNvPr>
          <xdr:cNvSpPr/>
        </xdr:nvSpPr>
        <xdr:spPr>
          <a:xfrm>
            <a:off x="1245870" y="1987225"/>
            <a:ext cx="650549" cy="17432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versus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0" name="Rectangle 179">
            <a:extLst>
              <a:ext uri="{FF2B5EF4-FFF2-40B4-BE49-F238E27FC236}">
                <a16:creationId xmlns:a16="http://schemas.microsoft.com/office/drawing/2014/main" id="{A31B4022-64A5-6E8D-F432-9FDED953D3F3}"/>
              </a:ext>
            </a:extLst>
          </xdr:cNvPr>
          <xdr:cNvSpPr/>
        </xdr:nvSpPr>
        <xdr:spPr>
          <a:xfrm>
            <a:off x="1735046" y="1962547"/>
            <a:ext cx="257163" cy="20697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a/b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1" name="Rectangle 180">
            <a:extLst>
              <a:ext uri="{FF2B5EF4-FFF2-40B4-BE49-F238E27FC236}">
                <a16:creationId xmlns:a16="http://schemas.microsoft.com/office/drawing/2014/main" id="{9CD4FC9C-20E9-820E-1B1A-15D36C72ED98}"/>
              </a:ext>
            </a:extLst>
          </xdr:cNvPr>
          <xdr:cNvSpPr/>
        </xdr:nvSpPr>
        <xdr:spPr>
          <a:xfrm>
            <a:off x="1928597" y="1987225"/>
            <a:ext cx="320109" cy="17432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for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2" name="Rectangle 181">
            <a:extLst>
              <a:ext uri="{FF2B5EF4-FFF2-40B4-BE49-F238E27FC236}">
                <a16:creationId xmlns:a16="http://schemas.microsoft.com/office/drawing/2014/main" id="{A8B7D17A-5DE1-3878-26C5-1F2932EE77D1}"/>
              </a:ext>
            </a:extLst>
          </xdr:cNvPr>
          <xdr:cNvSpPr/>
        </xdr:nvSpPr>
        <xdr:spPr>
          <a:xfrm>
            <a:off x="2169407" y="1962547"/>
            <a:ext cx="258230" cy="20697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h/b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3" name="Rectangle 182">
            <a:extLst>
              <a:ext uri="{FF2B5EF4-FFF2-40B4-BE49-F238E27FC236}">
                <a16:creationId xmlns:a16="http://schemas.microsoft.com/office/drawing/2014/main" id="{C2CC64AF-1758-924E-6702-3E21EF95FB8B}"/>
              </a:ext>
            </a:extLst>
          </xdr:cNvPr>
          <xdr:cNvSpPr/>
        </xdr:nvSpPr>
        <xdr:spPr>
          <a:xfrm>
            <a:off x="2363697" y="1987225"/>
            <a:ext cx="365659" cy="174325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1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&lt; 1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4" name="Rectangle 183">
            <a:extLst>
              <a:ext uri="{FF2B5EF4-FFF2-40B4-BE49-F238E27FC236}">
                <a16:creationId xmlns:a16="http://schemas.microsoft.com/office/drawing/2014/main" id="{9013D9F3-C046-B444-60BF-09BEE34E6494}"/>
              </a:ext>
            </a:extLst>
          </xdr:cNvPr>
          <xdr:cNvSpPr/>
        </xdr:nvSpPr>
        <xdr:spPr>
          <a:xfrm>
            <a:off x="176845" y="303699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5" name="Rectangle 184">
            <a:extLst>
              <a:ext uri="{FF2B5EF4-FFF2-40B4-BE49-F238E27FC236}">
                <a16:creationId xmlns:a16="http://schemas.microsoft.com/office/drawing/2014/main" id="{1619F5FE-9DF9-2E89-537A-3D075C99B4DF}"/>
              </a:ext>
            </a:extLst>
          </xdr:cNvPr>
          <xdr:cNvSpPr/>
        </xdr:nvSpPr>
        <xdr:spPr>
          <a:xfrm>
            <a:off x="0" y="303699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1.4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6" name="Rectangle 185">
            <a:extLst>
              <a:ext uri="{FF2B5EF4-FFF2-40B4-BE49-F238E27FC236}">
                <a16:creationId xmlns:a16="http://schemas.microsoft.com/office/drawing/2014/main" id="{8708CD57-9A86-ABA5-6F62-158D5807BF20}"/>
              </a:ext>
            </a:extLst>
          </xdr:cNvPr>
          <xdr:cNvSpPr/>
        </xdr:nvSpPr>
        <xdr:spPr>
          <a:xfrm>
            <a:off x="176784" y="472232"/>
            <a:ext cx="84523" cy="285778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8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7" name="Rectangle 186">
            <a:extLst>
              <a:ext uri="{FF2B5EF4-FFF2-40B4-BE49-F238E27FC236}">
                <a16:creationId xmlns:a16="http://schemas.microsoft.com/office/drawing/2014/main" id="{D9691408-8E95-1405-D6FE-6ED5677B4AB0}"/>
              </a:ext>
            </a:extLst>
          </xdr:cNvPr>
          <xdr:cNvSpPr/>
        </xdr:nvSpPr>
        <xdr:spPr>
          <a:xfrm>
            <a:off x="176845" y="712893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8" name="Rectangle 187">
            <a:extLst>
              <a:ext uri="{FF2B5EF4-FFF2-40B4-BE49-F238E27FC236}">
                <a16:creationId xmlns:a16="http://schemas.microsoft.com/office/drawing/2014/main" id="{BFAC5635-D9BE-98BD-35BA-74C20DC055B4}"/>
              </a:ext>
            </a:extLst>
          </xdr:cNvPr>
          <xdr:cNvSpPr/>
        </xdr:nvSpPr>
        <xdr:spPr>
          <a:xfrm>
            <a:off x="0" y="712893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1.2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89" name="Rectangle 188">
            <a:extLst>
              <a:ext uri="{FF2B5EF4-FFF2-40B4-BE49-F238E27FC236}">
                <a16:creationId xmlns:a16="http://schemas.microsoft.com/office/drawing/2014/main" id="{62114422-83CE-8D68-E6BF-452DD04B9F42}"/>
              </a:ext>
            </a:extLst>
          </xdr:cNvPr>
          <xdr:cNvSpPr/>
        </xdr:nvSpPr>
        <xdr:spPr>
          <a:xfrm>
            <a:off x="176784" y="880664"/>
            <a:ext cx="84523" cy="285778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8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0" name="Rectangle 189">
            <a:extLst>
              <a:ext uri="{FF2B5EF4-FFF2-40B4-BE49-F238E27FC236}">
                <a16:creationId xmlns:a16="http://schemas.microsoft.com/office/drawing/2014/main" id="{C4093929-F53D-4522-32BB-A8F08D0F107D}"/>
              </a:ext>
            </a:extLst>
          </xdr:cNvPr>
          <xdr:cNvSpPr/>
        </xdr:nvSpPr>
        <xdr:spPr>
          <a:xfrm>
            <a:off x="176845" y="1121325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1" name="Rectangle 190">
            <a:extLst>
              <a:ext uri="{FF2B5EF4-FFF2-40B4-BE49-F238E27FC236}">
                <a16:creationId xmlns:a16="http://schemas.microsoft.com/office/drawing/2014/main" id="{D8662D10-1043-25E4-4BBF-3AD693D3002F}"/>
              </a:ext>
            </a:extLst>
          </xdr:cNvPr>
          <xdr:cNvSpPr/>
        </xdr:nvSpPr>
        <xdr:spPr>
          <a:xfrm>
            <a:off x="0" y="1121325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1.0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2" name="Rectangle 191">
            <a:extLst>
              <a:ext uri="{FF2B5EF4-FFF2-40B4-BE49-F238E27FC236}">
                <a16:creationId xmlns:a16="http://schemas.microsoft.com/office/drawing/2014/main" id="{C8BE6394-A0EC-0BC5-7F95-E26EEA3327D6}"/>
              </a:ext>
            </a:extLst>
          </xdr:cNvPr>
          <xdr:cNvSpPr/>
        </xdr:nvSpPr>
        <xdr:spPr>
          <a:xfrm>
            <a:off x="176784" y="1279782"/>
            <a:ext cx="65646" cy="221954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4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3" name="Rectangle 192">
            <a:extLst>
              <a:ext uri="{FF2B5EF4-FFF2-40B4-BE49-F238E27FC236}">
                <a16:creationId xmlns:a16="http://schemas.microsoft.com/office/drawing/2014/main" id="{DCD889BF-CB63-D437-7E54-D128519B6BFA}"/>
              </a:ext>
            </a:extLst>
          </xdr:cNvPr>
          <xdr:cNvSpPr/>
        </xdr:nvSpPr>
        <xdr:spPr>
          <a:xfrm>
            <a:off x="0" y="1471845"/>
            <a:ext cx="23522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0.8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4" name="Rectangle 193">
            <a:extLst>
              <a:ext uri="{FF2B5EF4-FFF2-40B4-BE49-F238E27FC236}">
                <a16:creationId xmlns:a16="http://schemas.microsoft.com/office/drawing/2014/main" id="{2602AF7C-CCC9-CB07-49A9-3724E6784DF5}"/>
              </a:ext>
            </a:extLst>
          </xdr:cNvPr>
          <xdr:cNvSpPr/>
        </xdr:nvSpPr>
        <xdr:spPr>
          <a:xfrm>
            <a:off x="176845" y="1471845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5" name="Rectangle 194">
            <a:extLst>
              <a:ext uri="{FF2B5EF4-FFF2-40B4-BE49-F238E27FC236}">
                <a16:creationId xmlns:a16="http://schemas.microsoft.com/office/drawing/2014/main" id="{D167BE20-A8ED-3527-B35C-8F4AD416DF9A}"/>
              </a:ext>
            </a:extLst>
          </xdr:cNvPr>
          <xdr:cNvSpPr/>
        </xdr:nvSpPr>
        <xdr:spPr>
          <a:xfrm>
            <a:off x="235420" y="1611315"/>
            <a:ext cx="9410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0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6" name="Rectangle 195">
            <a:extLst>
              <a:ext uri="{FF2B5EF4-FFF2-40B4-BE49-F238E27FC236}">
                <a16:creationId xmlns:a16="http://schemas.microsoft.com/office/drawing/2014/main" id="{11027822-903C-6537-807C-B93DB0D3BA34}"/>
              </a:ext>
            </a:extLst>
          </xdr:cNvPr>
          <xdr:cNvSpPr/>
        </xdr:nvSpPr>
        <xdr:spPr>
          <a:xfrm>
            <a:off x="306135" y="1611315"/>
            <a:ext cx="3050523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      0.5      1.0     1.5     2.0      2.5     3.0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7" name="Rectangle 196">
            <a:extLst>
              <a:ext uri="{FF2B5EF4-FFF2-40B4-BE49-F238E27FC236}">
                <a16:creationId xmlns:a16="http://schemas.microsoft.com/office/drawing/2014/main" id="{92A40BC8-D149-E6F6-3586-859933096D76}"/>
              </a:ext>
            </a:extLst>
          </xdr:cNvPr>
          <xdr:cNvSpPr/>
        </xdr:nvSpPr>
        <xdr:spPr>
          <a:xfrm>
            <a:off x="2697403" y="1077866"/>
            <a:ext cx="710282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h/b = 1/4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8" name="Rectangle 197">
            <a:extLst>
              <a:ext uri="{FF2B5EF4-FFF2-40B4-BE49-F238E27FC236}">
                <a16:creationId xmlns:a16="http://schemas.microsoft.com/office/drawing/2014/main" id="{E390EFA8-658E-71EB-7A2A-2D3A073A5A00}"/>
              </a:ext>
            </a:extLst>
          </xdr:cNvPr>
          <xdr:cNvSpPr/>
        </xdr:nvSpPr>
        <xdr:spPr>
          <a:xfrm>
            <a:off x="2715728" y="1253735"/>
            <a:ext cx="611831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h/b = 1/2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199" name="Rectangle 198">
            <a:extLst>
              <a:ext uri="{FF2B5EF4-FFF2-40B4-BE49-F238E27FC236}">
                <a16:creationId xmlns:a16="http://schemas.microsoft.com/office/drawing/2014/main" id="{D0575570-316A-CAC5-6629-1CACC5C303F6}"/>
              </a:ext>
            </a:extLst>
          </xdr:cNvPr>
          <xdr:cNvSpPr/>
        </xdr:nvSpPr>
        <xdr:spPr>
          <a:xfrm>
            <a:off x="1533156" y="1209578"/>
            <a:ext cx="84624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1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0" name="Rectangle 199">
            <a:extLst>
              <a:ext uri="{FF2B5EF4-FFF2-40B4-BE49-F238E27FC236}">
                <a16:creationId xmlns:a16="http://schemas.microsoft.com/office/drawing/2014/main" id="{0A087283-AFB3-F1AD-9CAD-50142520E432}"/>
              </a:ext>
            </a:extLst>
          </xdr:cNvPr>
          <xdr:cNvSpPr/>
        </xdr:nvSpPr>
        <xdr:spPr>
          <a:xfrm>
            <a:off x="1597165" y="1209578"/>
            <a:ext cx="174156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/2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1" name="Rectangle 200">
            <a:extLst>
              <a:ext uri="{FF2B5EF4-FFF2-40B4-BE49-F238E27FC236}">
                <a16:creationId xmlns:a16="http://schemas.microsoft.com/office/drawing/2014/main" id="{883C37AC-D9CE-7DFC-9D3C-C6AE251DB0CB}"/>
              </a:ext>
            </a:extLst>
          </xdr:cNvPr>
          <xdr:cNvSpPr/>
        </xdr:nvSpPr>
        <xdr:spPr>
          <a:xfrm>
            <a:off x="1977400" y="800329"/>
            <a:ext cx="84624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1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2" name="Rectangle 201">
            <a:extLst>
              <a:ext uri="{FF2B5EF4-FFF2-40B4-BE49-F238E27FC236}">
                <a16:creationId xmlns:a16="http://schemas.microsoft.com/office/drawing/2014/main" id="{39AC819C-07B2-0228-B1AD-7D753E8A41D2}"/>
              </a:ext>
            </a:extLst>
          </xdr:cNvPr>
          <xdr:cNvSpPr/>
        </xdr:nvSpPr>
        <xdr:spPr>
          <a:xfrm>
            <a:off x="2041409" y="800329"/>
            <a:ext cx="174156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/4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3" name="Rectangle 202">
            <a:extLst>
              <a:ext uri="{FF2B5EF4-FFF2-40B4-BE49-F238E27FC236}">
                <a16:creationId xmlns:a16="http://schemas.microsoft.com/office/drawing/2014/main" id="{D7BE2B1C-ACB0-BE50-D04B-A5A822627E86}"/>
              </a:ext>
            </a:extLst>
          </xdr:cNvPr>
          <xdr:cNvSpPr/>
        </xdr:nvSpPr>
        <xdr:spPr>
          <a:xfrm>
            <a:off x="368782" y="622046"/>
            <a:ext cx="84624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1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4" name="Rectangle 203">
            <a:extLst>
              <a:ext uri="{FF2B5EF4-FFF2-40B4-BE49-F238E27FC236}">
                <a16:creationId xmlns:a16="http://schemas.microsoft.com/office/drawing/2014/main" id="{3C312E7B-46BC-A08B-6FD1-F3DC0B9F3CC1}"/>
              </a:ext>
            </a:extLst>
          </xdr:cNvPr>
          <xdr:cNvSpPr/>
        </xdr:nvSpPr>
        <xdr:spPr>
          <a:xfrm>
            <a:off x="432791" y="622046"/>
            <a:ext cx="174156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/4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5" name="Rectangle 204">
            <a:extLst>
              <a:ext uri="{FF2B5EF4-FFF2-40B4-BE49-F238E27FC236}">
                <a16:creationId xmlns:a16="http://schemas.microsoft.com/office/drawing/2014/main" id="{38A0F518-2349-D487-0DC2-1B057C833D64}"/>
              </a:ext>
            </a:extLst>
          </xdr:cNvPr>
          <xdr:cNvSpPr/>
        </xdr:nvSpPr>
        <xdr:spPr>
          <a:xfrm>
            <a:off x="414466" y="889534"/>
            <a:ext cx="174156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/2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6" name="Rectangle 205">
            <a:extLst>
              <a:ext uri="{FF2B5EF4-FFF2-40B4-BE49-F238E27FC236}">
                <a16:creationId xmlns:a16="http://schemas.microsoft.com/office/drawing/2014/main" id="{2B97C489-44A4-626A-8B93-ABC02074F15B}"/>
              </a:ext>
            </a:extLst>
          </xdr:cNvPr>
          <xdr:cNvSpPr/>
        </xdr:nvSpPr>
        <xdr:spPr>
          <a:xfrm>
            <a:off x="350457" y="889534"/>
            <a:ext cx="84624" cy="187357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Times New Roman" panose="02020603050405020304" pitchFamily="18" charset="0"/>
              </a:rPr>
              <a:t>1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7" name="Rectangle 206">
            <a:extLst>
              <a:ext uri="{FF2B5EF4-FFF2-40B4-BE49-F238E27FC236}">
                <a16:creationId xmlns:a16="http://schemas.microsoft.com/office/drawing/2014/main" id="{80D7FA91-64B8-BC84-F430-53ECCA5C7371}"/>
              </a:ext>
            </a:extLst>
          </xdr:cNvPr>
          <xdr:cNvSpPr/>
        </xdr:nvSpPr>
        <xdr:spPr>
          <a:xfrm>
            <a:off x="1106346" y="1788834"/>
            <a:ext cx="282255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a/b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8" name="Rectangle 207">
            <a:extLst>
              <a:ext uri="{FF2B5EF4-FFF2-40B4-BE49-F238E27FC236}">
                <a16:creationId xmlns:a16="http://schemas.microsoft.com/office/drawing/2014/main" id="{3EF1874D-36C9-01BF-FF04-95A9A5396E63}"/>
              </a:ext>
            </a:extLst>
          </xdr:cNvPr>
          <xdr:cNvSpPr/>
        </xdr:nvSpPr>
        <xdr:spPr>
          <a:xfrm>
            <a:off x="1318260" y="1840617"/>
            <a:ext cx="30428" cy="102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09" name="Shape 13780">
            <a:extLst>
              <a:ext uri="{FF2B5EF4-FFF2-40B4-BE49-F238E27FC236}">
                <a16:creationId xmlns:a16="http://schemas.microsoft.com/office/drawing/2014/main" id="{D2F7A27A-5F3C-7A1F-AFF7-CB6A812CE799}"/>
              </a:ext>
            </a:extLst>
          </xdr:cNvPr>
          <xdr:cNvSpPr/>
        </xdr:nvSpPr>
        <xdr:spPr>
          <a:xfrm>
            <a:off x="1338834" y="1837289"/>
            <a:ext cx="422910" cy="51054"/>
          </a:xfrm>
          <a:custGeom>
            <a:avLst/>
            <a:gdLst/>
            <a:ahLst/>
            <a:cxnLst/>
            <a:rect l="0" t="0" r="0" b="0"/>
            <a:pathLst>
              <a:path w="422910" h="51054">
                <a:moveTo>
                  <a:pt x="346710" y="0"/>
                </a:moveTo>
                <a:lnTo>
                  <a:pt x="422910" y="25146"/>
                </a:lnTo>
                <a:lnTo>
                  <a:pt x="346710" y="51054"/>
                </a:lnTo>
                <a:lnTo>
                  <a:pt x="346710" y="30480"/>
                </a:lnTo>
                <a:lnTo>
                  <a:pt x="5334" y="30480"/>
                </a:lnTo>
                <a:cubicBezTo>
                  <a:pt x="2286" y="30480"/>
                  <a:pt x="0" y="28194"/>
                  <a:pt x="0" y="25146"/>
                </a:cubicBezTo>
                <a:cubicBezTo>
                  <a:pt x="0" y="22860"/>
                  <a:pt x="2286" y="20574"/>
                  <a:pt x="5334" y="20574"/>
                </a:cubicBezTo>
                <a:lnTo>
                  <a:pt x="346710" y="20574"/>
                </a:lnTo>
                <a:lnTo>
                  <a:pt x="346710" y="0"/>
                </a:lnTo>
                <a:close/>
              </a:path>
            </a:pathLst>
          </a:custGeom>
          <a:ln w="0" cap="rnd">
            <a:round/>
          </a:ln>
        </xdr:spPr>
        <xdr:style>
          <a:lnRef idx="0">
            <a:srgbClr val="000000">
              <a:alpha val="0"/>
            </a:srgbClr>
          </a:lnRef>
          <a:fillRef idx="1">
            <a:srgbClr val="010101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0" name="Shape 13781">
            <a:extLst>
              <a:ext uri="{FF2B5EF4-FFF2-40B4-BE49-F238E27FC236}">
                <a16:creationId xmlns:a16="http://schemas.microsoft.com/office/drawing/2014/main" id="{C71B45B4-F95F-00DA-29F8-27B0007EE738}"/>
              </a:ext>
            </a:extLst>
          </xdr:cNvPr>
          <xdr:cNvSpPr/>
        </xdr:nvSpPr>
        <xdr:spPr>
          <a:xfrm>
            <a:off x="277368" y="357485"/>
            <a:ext cx="2391156" cy="1200150"/>
          </a:xfrm>
          <a:custGeom>
            <a:avLst/>
            <a:gdLst/>
            <a:ahLst/>
            <a:cxnLst/>
            <a:rect l="0" t="0" r="0" b="0"/>
            <a:pathLst>
              <a:path w="2391156" h="1200150">
                <a:moveTo>
                  <a:pt x="2391156" y="0"/>
                </a:moveTo>
                <a:lnTo>
                  <a:pt x="0" y="0"/>
                </a:lnTo>
                <a:lnTo>
                  <a:pt x="0" y="1200150"/>
                </a:lnTo>
                <a:lnTo>
                  <a:pt x="2391156" y="1200150"/>
                </a:lnTo>
                <a:close/>
              </a:path>
            </a:pathLst>
          </a:custGeom>
          <a:ln w="19050" cap="rnd">
            <a:miter lim="101600"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1" name="Shape 13784">
            <a:extLst>
              <a:ext uri="{FF2B5EF4-FFF2-40B4-BE49-F238E27FC236}">
                <a16:creationId xmlns:a16="http://schemas.microsoft.com/office/drawing/2014/main" id="{3D092993-9565-DCB9-DBBB-994866012528}"/>
              </a:ext>
            </a:extLst>
          </xdr:cNvPr>
          <xdr:cNvSpPr/>
        </xdr:nvSpPr>
        <xdr:spPr>
          <a:xfrm>
            <a:off x="685800" y="357485"/>
            <a:ext cx="0" cy="1200150"/>
          </a:xfrm>
          <a:custGeom>
            <a:avLst/>
            <a:gdLst/>
            <a:ahLst/>
            <a:cxnLst/>
            <a:rect l="0" t="0" r="0" b="0"/>
            <a:pathLst>
              <a:path h="1200150">
                <a:moveTo>
                  <a:pt x="0" y="0"/>
                </a:moveTo>
                <a:lnTo>
                  <a:pt x="0" y="120015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2" name="Shape 13785">
            <a:extLst>
              <a:ext uri="{FF2B5EF4-FFF2-40B4-BE49-F238E27FC236}">
                <a16:creationId xmlns:a16="http://schemas.microsoft.com/office/drawing/2014/main" id="{C9BFCC4C-9757-2AC9-FA1C-B95C654D86C9}"/>
              </a:ext>
            </a:extLst>
          </xdr:cNvPr>
          <xdr:cNvSpPr/>
        </xdr:nvSpPr>
        <xdr:spPr>
          <a:xfrm>
            <a:off x="1077468" y="366629"/>
            <a:ext cx="0" cy="1200150"/>
          </a:xfrm>
          <a:custGeom>
            <a:avLst/>
            <a:gdLst/>
            <a:ahLst/>
            <a:cxnLst/>
            <a:rect l="0" t="0" r="0" b="0"/>
            <a:pathLst>
              <a:path h="1200150">
                <a:moveTo>
                  <a:pt x="0" y="0"/>
                </a:moveTo>
                <a:lnTo>
                  <a:pt x="0" y="120015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3" name="Shape 13786">
            <a:extLst>
              <a:ext uri="{FF2B5EF4-FFF2-40B4-BE49-F238E27FC236}">
                <a16:creationId xmlns:a16="http://schemas.microsoft.com/office/drawing/2014/main" id="{4F204169-8DF5-ABF3-3097-02F14A493B99}"/>
              </a:ext>
            </a:extLst>
          </xdr:cNvPr>
          <xdr:cNvSpPr/>
        </xdr:nvSpPr>
        <xdr:spPr>
          <a:xfrm>
            <a:off x="1477518" y="357485"/>
            <a:ext cx="0" cy="1200150"/>
          </a:xfrm>
          <a:custGeom>
            <a:avLst/>
            <a:gdLst/>
            <a:ahLst/>
            <a:cxnLst/>
            <a:rect l="0" t="0" r="0" b="0"/>
            <a:pathLst>
              <a:path h="1200150">
                <a:moveTo>
                  <a:pt x="0" y="0"/>
                </a:moveTo>
                <a:lnTo>
                  <a:pt x="0" y="120015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4" name="Shape 13787">
            <a:extLst>
              <a:ext uri="{FF2B5EF4-FFF2-40B4-BE49-F238E27FC236}">
                <a16:creationId xmlns:a16="http://schemas.microsoft.com/office/drawing/2014/main" id="{E2D24B52-ACAB-2DDE-509F-DDF3DD99BE9E}"/>
              </a:ext>
            </a:extLst>
          </xdr:cNvPr>
          <xdr:cNvSpPr/>
        </xdr:nvSpPr>
        <xdr:spPr>
          <a:xfrm>
            <a:off x="1868424" y="366629"/>
            <a:ext cx="0" cy="1200150"/>
          </a:xfrm>
          <a:custGeom>
            <a:avLst/>
            <a:gdLst/>
            <a:ahLst/>
            <a:cxnLst/>
            <a:rect l="0" t="0" r="0" b="0"/>
            <a:pathLst>
              <a:path h="1200150">
                <a:moveTo>
                  <a:pt x="0" y="0"/>
                </a:moveTo>
                <a:lnTo>
                  <a:pt x="0" y="120015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5" name="Shape 13788">
            <a:extLst>
              <a:ext uri="{FF2B5EF4-FFF2-40B4-BE49-F238E27FC236}">
                <a16:creationId xmlns:a16="http://schemas.microsoft.com/office/drawing/2014/main" id="{47E6C233-66E8-E3FF-3FB7-8E3AB0D9B5E7}"/>
              </a:ext>
            </a:extLst>
          </xdr:cNvPr>
          <xdr:cNvSpPr/>
        </xdr:nvSpPr>
        <xdr:spPr>
          <a:xfrm>
            <a:off x="2259330" y="366629"/>
            <a:ext cx="0" cy="1200150"/>
          </a:xfrm>
          <a:custGeom>
            <a:avLst/>
            <a:gdLst/>
            <a:ahLst/>
            <a:cxnLst/>
            <a:rect l="0" t="0" r="0" b="0"/>
            <a:pathLst>
              <a:path h="1200150">
                <a:moveTo>
                  <a:pt x="0" y="0"/>
                </a:moveTo>
                <a:lnTo>
                  <a:pt x="0" y="120015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6" name="Shape 13789">
            <a:extLst>
              <a:ext uri="{FF2B5EF4-FFF2-40B4-BE49-F238E27FC236}">
                <a16:creationId xmlns:a16="http://schemas.microsoft.com/office/drawing/2014/main" id="{F6A3BE13-A6B0-61DC-D6DC-CAFAF6B10C0F}"/>
              </a:ext>
            </a:extLst>
          </xdr:cNvPr>
          <xdr:cNvSpPr/>
        </xdr:nvSpPr>
        <xdr:spPr>
          <a:xfrm>
            <a:off x="294894" y="757535"/>
            <a:ext cx="2364486" cy="0"/>
          </a:xfrm>
          <a:custGeom>
            <a:avLst/>
            <a:gdLst/>
            <a:ahLst/>
            <a:cxnLst/>
            <a:rect l="0" t="0" r="0" b="0"/>
            <a:pathLst>
              <a:path w="2364486">
                <a:moveTo>
                  <a:pt x="0" y="0"/>
                </a:moveTo>
                <a:lnTo>
                  <a:pt x="2364486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7" name="Shape 13790">
            <a:extLst>
              <a:ext uri="{FF2B5EF4-FFF2-40B4-BE49-F238E27FC236}">
                <a16:creationId xmlns:a16="http://schemas.microsoft.com/office/drawing/2014/main" id="{A37AC82D-3646-E11C-7834-1374F3465C0E}"/>
              </a:ext>
            </a:extLst>
          </xdr:cNvPr>
          <xdr:cNvSpPr/>
        </xdr:nvSpPr>
        <xdr:spPr>
          <a:xfrm>
            <a:off x="294132" y="1157585"/>
            <a:ext cx="2364486" cy="0"/>
          </a:xfrm>
          <a:custGeom>
            <a:avLst/>
            <a:gdLst/>
            <a:ahLst/>
            <a:cxnLst/>
            <a:rect l="0" t="0" r="0" b="0"/>
            <a:pathLst>
              <a:path w="2364486">
                <a:moveTo>
                  <a:pt x="0" y="0"/>
                </a:moveTo>
                <a:lnTo>
                  <a:pt x="2364486" y="0"/>
                </a:lnTo>
              </a:path>
            </a:pathLst>
          </a:custGeom>
          <a:ln w="9525" cap="rnd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8" name="Shape 13791">
            <a:extLst>
              <a:ext uri="{FF2B5EF4-FFF2-40B4-BE49-F238E27FC236}">
                <a16:creationId xmlns:a16="http://schemas.microsoft.com/office/drawing/2014/main" id="{38FCF2E4-169A-1A55-0D37-2F02D596D7AB}"/>
              </a:ext>
            </a:extLst>
          </xdr:cNvPr>
          <xdr:cNvSpPr/>
        </xdr:nvSpPr>
        <xdr:spPr>
          <a:xfrm>
            <a:off x="294894" y="749153"/>
            <a:ext cx="2371344" cy="574548"/>
          </a:xfrm>
          <a:custGeom>
            <a:avLst/>
            <a:gdLst/>
            <a:ahLst/>
            <a:cxnLst/>
            <a:rect l="0" t="0" r="0" b="0"/>
            <a:pathLst>
              <a:path w="2371344" h="574548">
                <a:moveTo>
                  <a:pt x="0" y="106680"/>
                </a:moveTo>
                <a:cubicBezTo>
                  <a:pt x="24384" y="102870"/>
                  <a:pt x="87630" y="91440"/>
                  <a:pt x="146304" y="82296"/>
                </a:cubicBezTo>
                <a:cubicBezTo>
                  <a:pt x="204216" y="72390"/>
                  <a:pt x="290322" y="63246"/>
                  <a:pt x="352044" y="50292"/>
                </a:cubicBezTo>
                <a:cubicBezTo>
                  <a:pt x="414528" y="38100"/>
                  <a:pt x="473202" y="12954"/>
                  <a:pt x="520446" y="6096"/>
                </a:cubicBezTo>
                <a:cubicBezTo>
                  <a:pt x="568452" y="0"/>
                  <a:pt x="600456" y="1524"/>
                  <a:pt x="637794" y="9144"/>
                </a:cubicBezTo>
                <a:cubicBezTo>
                  <a:pt x="675894" y="16764"/>
                  <a:pt x="693420" y="26670"/>
                  <a:pt x="746760" y="53340"/>
                </a:cubicBezTo>
                <a:cubicBezTo>
                  <a:pt x="800100" y="80010"/>
                  <a:pt x="884682" y="128016"/>
                  <a:pt x="958596" y="171450"/>
                </a:cubicBezTo>
                <a:cubicBezTo>
                  <a:pt x="1033272" y="214122"/>
                  <a:pt x="1117854" y="272796"/>
                  <a:pt x="1191006" y="310896"/>
                </a:cubicBezTo>
                <a:cubicBezTo>
                  <a:pt x="1264158" y="348996"/>
                  <a:pt x="1325880" y="374142"/>
                  <a:pt x="1395984" y="400050"/>
                </a:cubicBezTo>
                <a:cubicBezTo>
                  <a:pt x="1465326" y="425196"/>
                  <a:pt x="1517904" y="440436"/>
                  <a:pt x="1609344" y="461772"/>
                </a:cubicBezTo>
                <a:cubicBezTo>
                  <a:pt x="1700022" y="483870"/>
                  <a:pt x="1855470" y="514350"/>
                  <a:pt x="1940052" y="529590"/>
                </a:cubicBezTo>
                <a:cubicBezTo>
                  <a:pt x="2024634" y="544830"/>
                  <a:pt x="2042922" y="547878"/>
                  <a:pt x="2114550" y="555498"/>
                </a:cubicBezTo>
                <a:cubicBezTo>
                  <a:pt x="2186178" y="563118"/>
                  <a:pt x="2318004" y="570738"/>
                  <a:pt x="2371344" y="574548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19" name="Shape 13792">
            <a:extLst>
              <a:ext uri="{FF2B5EF4-FFF2-40B4-BE49-F238E27FC236}">
                <a16:creationId xmlns:a16="http://schemas.microsoft.com/office/drawing/2014/main" id="{CAE718F9-9B91-AADD-EA26-ACC4319AC9F9}"/>
              </a:ext>
            </a:extLst>
          </xdr:cNvPr>
          <xdr:cNvSpPr/>
        </xdr:nvSpPr>
        <xdr:spPr>
          <a:xfrm>
            <a:off x="890778" y="748391"/>
            <a:ext cx="1775460" cy="406908"/>
          </a:xfrm>
          <a:custGeom>
            <a:avLst/>
            <a:gdLst/>
            <a:ahLst/>
            <a:cxnLst/>
            <a:rect l="0" t="0" r="0" b="0"/>
            <a:pathLst>
              <a:path w="1775460" h="406908">
                <a:moveTo>
                  <a:pt x="0" y="762"/>
                </a:moveTo>
                <a:cubicBezTo>
                  <a:pt x="20574" y="762"/>
                  <a:pt x="77724" y="3810"/>
                  <a:pt x="124968" y="3810"/>
                </a:cubicBezTo>
                <a:cubicBezTo>
                  <a:pt x="171450" y="3810"/>
                  <a:pt x="230124" y="0"/>
                  <a:pt x="280416" y="762"/>
                </a:cubicBezTo>
                <a:cubicBezTo>
                  <a:pt x="330708" y="762"/>
                  <a:pt x="382524" y="4572"/>
                  <a:pt x="426720" y="9144"/>
                </a:cubicBezTo>
                <a:cubicBezTo>
                  <a:pt x="470154" y="14478"/>
                  <a:pt x="493776" y="19050"/>
                  <a:pt x="544068" y="32004"/>
                </a:cubicBezTo>
                <a:cubicBezTo>
                  <a:pt x="594360" y="45720"/>
                  <a:pt x="660654" y="65532"/>
                  <a:pt x="728472" y="89154"/>
                </a:cubicBezTo>
                <a:cubicBezTo>
                  <a:pt x="796290" y="115062"/>
                  <a:pt x="872490" y="152400"/>
                  <a:pt x="950214" y="184404"/>
                </a:cubicBezTo>
                <a:cubicBezTo>
                  <a:pt x="1028700" y="217170"/>
                  <a:pt x="1127760" y="256794"/>
                  <a:pt x="1197864" y="282702"/>
                </a:cubicBezTo>
                <a:cubicBezTo>
                  <a:pt x="1268730" y="309372"/>
                  <a:pt x="1301496" y="322326"/>
                  <a:pt x="1372362" y="339852"/>
                </a:cubicBezTo>
                <a:cubicBezTo>
                  <a:pt x="1440942" y="358902"/>
                  <a:pt x="1556004" y="380238"/>
                  <a:pt x="1623060" y="390906"/>
                </a:cubicBezTo>
                <a:cubicBezTo>
                  <a:pt x="1690878" y="401574"/>
                  <a:pt x="1744218" y="403860"/>
                  <a:pt x="1775460" y="406908"/>
                </a:cubicBezTo>
              </a:path>
            </a:pathLst>
          </a:custGeom>
          <a:ln w="12700" cap="flat">
            <a:round/>
          </a:ln>
        </xdr:spPr>
        <xdr:style>
          <a:lnRef idx="1">
            <a:srgbClr val="010101"/>
          </a:lnRef>
          <a:fillRef idx="0">
            <a:srgbClr val="000000">
              <a:alpha val="0"/>
            </a:srgbClr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n-IN"/>
          </a:p>
        </xdr:txBody>
      </xdr:sp>
      <xdr:sp macro="" textlink="">
        <xdr:nvSpPr>
          <xdr:cNvPr id="220" name="Rectangle 219">
            <a:extLst>
              <a:ext uri="{FF2B5EF4-FFF2-40B4-BE49-F238E27FC236}">
                <a16:creationId xmlns:a16="http://schemas.microsoft.com/office/drawing/2014/main" id="{DCF06D35-558E-7DE0-5852-C3F069CA2A53}"/>
              </a:ext>
            </a:extLst>
          </xdr:cNvPr>
          <xdr:cNvSpPr/>
        </xdr:nvSpPr>
        <xdr:spPr>
          <a:xfrm>
            <a:off x="395478" y="22520"/>
            <a:ext cx="1144285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6A   Values of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1" name="Rectangle 220">
            <a:extLst>
              <a:ext uri="{FF2B5EF4-FFF2-40B4-BE49-F238E27FC236}">
                <a16:creationId xmlns:a16="http://schemas.microsoft.com/office/drawing/2014/main" id="{843275F0-9EBD-A8B6-64B5-AD44AD27E7C2}"/>
              </a:ext>
            </a:extLst>
          </xdr:cNvPr>
          <xdr:cNvSpPr/>
        </xdr:nvSpPr>
        <xdr:spPr>
          <a:xfrm>
            <a:off x="1256479" y="0"/>
            <a:ext cx="122225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C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2" name="Rectangle 221">
            <a:extLst>
              <a:ext uri="{FF2B5EF4-FFF2-40B4-BE49-F238E27FC236}">
                <a16:creationId xmlns:a16="http://schemas.microsoft.com/office/drawing/2014/main" id="{69BF5207-CB9B-3CBD-5820-A45DC93B27D3}"/>
              </a:ext>
            </a:extLst>
          </xdr:cNvPr>
          <xdr:cNvSpPr/>
        </xdr:nvSpPr>
        <xdr:spPr>
          <a:xfrm>
            <a:off x="1348740" y="59737"/>
            <a:ext cx="30410" cy="12215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65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f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3" name="Rectangle 222">
            <a:extLst>
              <a:ext uri="{FF2B5EF4-FFF2-40B4-BE49-F238E27FC236}">
                <a16:creationId xmlns:a16="http://schemas.microsoft.com/office/drawing/2014/main" id="{530F3F00-4247-3DB5-5309-51D2F3A74C24}"/>
              </a:ext>
            </a:extLst>
          </xdr:cNvPr>
          <xdr:cNvSpPr/>
        </xdr:nvSpPr>
        <xdr:spPr>
          <a:xfrm>
            <a:off x="1371600" y="0"/>
            <a:ext cx="47022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4" name="Rectangle 223">
            <a:extLst>
              <a:ext uri="{FF2B5EF4-FFF2-40B4-BE49-F238E27FC236}">
                <a16:creationId xmlns:a16="http://schemas.microsoft.com/office/drawing/2014/main" id="{F9DB1B4C-552B-58F9-B1C8-2E01FBB06694}"/>
              </a:ext>
            </a:extLst>
          </xdr:cNvPr>
          <xdr:cNvSpPr/>
        </xdr:nvSpPr>
        <xdr:spPr>
          <a:xfrm>
            <a:off x="1406595" y="22520"/>
            <a:ext cx="545114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versus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5" name="Rectangle 224">
            <a:extLst>
              <a:ext uri="{FF2B5EF4-FFF2-40B4-BE49-F238E27FC236}">
                <a16:creationId xmlns:a16="http://schemas.microsoft.com/office/drawing/2014/main" id="{FB648C97-621A-928A-7C7A-03D2AB86F622}"/>
              </a:ext>
            </a:extLst>
          </xdr:cNvPr>
          <xdr:cNvSpPr/>
        </xdr:nvSpPr>
        <xdr:spPr>
          <a:xfrm>
            <a:off x="1816607" y="0"/>
            <a:ext cx="233960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a/b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6" name="Rectangle 225">
            <a:extLst>
              <a:ext uri="{FF2B5EF4-FFF2-40B4-BE49-F238E27FC236}">
                <a16:creationId xmlns:a16="http://schemas.microsoft.com/office/drawing/2014/main" id="{3F8E8CB6-4FB8-5CC9-4D93-7DCA148FFE24}"/>
              </a:ext>
            </a:extLst>
          </xdr:cNvPr>
          <xdr:cNvSpPr/>
        </xdr:nvSpPr>
        <xdr:spPr>
          <a:xfrm>
            <a:off x="1992600" y="22520"/>
            <a:ext cx="291258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for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7" name="Rectangle 226">
            <a:extLst>
              <a:ext uri="{FF2B5EF4-FFF2-40B4-BE49-F238E27FC236}">
                <a16:creationId xmlns:a16="http://schemas.microsoft.com/office/drawing/2014/main" id="{557DBC25-DD09-F6C1-CC97-A5AF67063F05}"/>
              </a:ext>
            </a:extLst>
          </xdr:cNvPr>
          <xdr:cNvSpPr/>
        </xdr:nvSpPr>
        <xdr:spPr>
          <a:xfrm>
            <a:off x="2211286" y="0"/>
            <a:ext cx="234976" cy="188880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 i="1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h/b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8" name="Rectangle 227">
            <a:extLst>
              <a:ext uri="{FF2B5EF4-FFF2-40B4-BE49-F238E27FC236}">
                <a16:creationId xmlns:a16="http://schemas.microsoft.com/office/drawing/2014/main" id="{AC5431BE-653D-71B9-CA44-5A3E9648F7BC}"/>
              </a:ext>
            </a:extLst>
          </xdr:cNvPr>
          <xdr:cNvSpPr/>
        </xdr:nvSpPr>
        <xdr:spPr>
          <a:xfrm>
            <a:off x="2388105" y="22520"/>
            <a:ext cx="47051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29" name="Rectangle 228">
            <a:extLst>
              <a:ext uri="{FF2B5EF4-FFF2-40B4-BE49-F238E27FC236}">
                <a16:creationId xmlns:a16="http://schemas.microsoft.com/office/drawing/2014/main" id="{0A191359-26DC-6826-ACEE-A2F0FA449A1A}"/>
              </a:ext>
            </a:extLst>
          </xdr:cNvPr>
          <xdr:cNvSpPr/>
        </xdr:nvSpPr>
        <xdr:spPr>
          <a:xfrm>
            <a:off x="2423100" y="26932"/>
            <a:ext cx="92748" cy="154538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Segoe UI Symbol" panose="020B0502040204020203" pitchFamily="34" charset="0"/>
                <a:ea typeface="Segoe UI Symbol" panose="020B0502040204020203" pitchFamily="34" charset="0"/>
                <a:cs typeface="Segoe UI Symbol" panose="020B0502040204020203" pitchFamily="34" charset="0"/>
              </a:rPr>
              <a:t>≥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30" name="Rectangle 229">
            <a:extLst>
              <a:ext uri="{FF2B5EF4-FFF2-40B4-BE49-F238E27FC236}">
                <a16:creationId xmlns:a16="http://schemas.microsoft.com/office/drawing/2014/main" id="{9D48B5D1-75DC-30BC-FDFA-1CDF554C8C66}"/>
              </a:ext>
            </a:extLst>
          </xdr:cNvPr>
          <xdr:cNvSpPr/>
        </xdr:nvSpPr>
        <xdr:spPr>
          <a:xfrm>
            <a:off x="2493217" y="22520"/>
            <a:ext cx="187746" cy="159083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>
              <a:lnSpc>
                <a:spcPct val="107000"/>
              </a:lnSpc>
              <a:spcAft>
                <a:spcPts val="800"/>
              </a:spcAft>
            </a:pPr>
            <a:r>
              <a:rPr lang="en-IN" sz="1000">
                <a:solidFill>
                  <a:srgbClr val="000000"/>
                </a:solidFill>
                <a:effectLst/>
                <a:latin typeface="Arial" panose="020B0604020202020204" pitchFamily="34" charset="0"/>
                <a:ea typeface="Arial" panose="020B0604020202020204" pitchFamily="34" charset="0"/>
              </a:rPr>
              <a:t> 1 </a:t>
            </a:r>
            <a:endParaRPr lang="en-I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14</xdr:col>
      <xdr:colOff>601980</xdr:colOff>
      <xdr:row>35</xdr:row>
      <xdr:rowOff>167640</xdr:rowOff>
    </xdr:from>
    <xdr:to>
      <xdr:col>22</xdr:col>
      <xdr:colOff>297180</xdr:colOff>
      <xdr:row>50</xdr:row>
      <xdr:rowOff>167640</xdr:rowOff>
    </xdr:to>
    <xdr:graphicFrame macro="">
      <xdr:nvGraphicFramePr>
        <xdr:cNvPr id="90" name="Chart 89">
          <a:extLst>
            <a:ext uri="{FF2B5EF4-FFF2-40B4-BE49-F238E27FC236}">
              <a16:creationId xmlns:a16="http://schemas.microsoft.com/office/drawing/2014/main" id="{65BC20E3-9219-F5A9-FF84-DE4CE608C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OneDrive/Documents/WIND%20LOAD.xlsx" TargetMode="External"/><Relationship Id="rId1" Type="http://schemas.openxmlformats.org/officeDocument/2006/relationships/externalLinkPath" Target="/Users/HP/OneDrive/Documents/WIND%20L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5"/>
      <sheetName val="Wind_Load_Calculator"/>
      <sheetName val="Sheet2"/>
      <sheetName val="Sheet3"/>
      <sheetName val="Sheet1"/>
    </sheetNames>
    <sheetDataSet>
      <sheetData sheetId="0"/>
      <sheetData sheetId="1"/>
      <sheetData sheetId="2"/>
      <sheetData sheetId="3">
        <row r="1">
          <cell r="C1" t="str">
            <v>State</v>
          </cell>
          <cell r="D1" t="str">
            <v xml:space="preserve">Agra </v>
          </cell>
          <cell r="E1" t="str">
            <v xml:space="preserve">Ahmedabad </v>
          </cell>
          <cell r="F1" t="str">
            <v xml:space="preserve">Ajmer </v>
          </cell>
          <cell r="G1" t="str">
            <v xml:space="preserve">Almora </v>
          </cell>
          <cell r="H1" t="str">
            <v xml:space="preserve">Amritsar </v>
          </cell>
          <cell r="I1" t="str">
            <v xml:space="preserve">Asansol </v>
          </cell>
          <cell r="J1" t="str">
            <v xml:space="preserve">Aurangabad </v>
          </cell>
          <cell r="K1" t="str">
            <v xml:space="preserve">Bahraich </v>
          </cell>
          <cell r="L1" t="str">
            <v xml:space="preserve">Bangalore </v>
          </cell>
          <cell r="M1" t="str">
            <v xml:space="preserve">Barauni </v>
          </cell>
          <cell r="N1" t="str">
            <v xml:space="preserve">Bhatinda </v>
          </cell>
          <cell r="O1" t="str">
            <v xml:space="preserve">Bhilai </v>
          </cell>
          <cell r="P1" t="str">
            <v xml:space="preserve">Bhopal </v>
          </cell>
          <cell r="Q1" t="str">
            <v xml:space="preserve">Bhubaneshwar </v>
          </cell>
          <cell r="R1" t="str">
            <v xml:space="preserve">Bhuj </v>
          </cell>
          <cell r="S1" t="str">
            <v xml:space="preserve">Bikaner </v>
          </cell>
          <cell r="T1" t="str">
            <v xml:space="preserve">Bokaro </v>
          </cell>
          <cell r="U1" t="str">
            <v xml:space="preserve">Bareilly </v>
          </cell>
          <cell r="V1" t="str">
            <v xml:space="preserve">Calicut </v>
          </cell>
          <cell r="W1" t="str">
            <v xml:space="preserve">Chandigarh </v>
          </cell>
          <cell r="X1" t="str">
            <v xml:space="preserve">Chennai </v>
          </cell>
          <cell r="Y1" t="str">
            <v xml:space="preserve">Coimbatore </v>
          </cell>
          <cell r="Z1" t="str">
            <v xml:space="preserve">Cuttack </v>
          </cell>
          <cell r="AA1" t="str">
            <v xml:space="preserve">Darbhanga </v>
          </cell>
          <cell r="AB1" t="str">
            <v xml:space="preserve">Darjeeling </v>
          </cell>
          <cell r="AC1" t="str">
            <v xml:space="preserve">Dehra Dun </v>
          </cell>
          <cell r="AD1" t="str">
            <v xml:space="preserve">Delhi </v>
          </cell>
          <cell r="AE1" t="str">
            <v xml:space="preserve">Durgapur </v>
          </cell>
          <cell r="AF1" t="str">
            <v xml:space="preserve">Gangtok </v>
          </cell>
          <cell r="AG1" t="str">
            <v xml:space="preserve">Gaya </v>
          </cell>
          <cell r="AH1" t="str">
            <v xml:space="preserve">Gorakhpur </v>
          </cell>
          <cell r="AI1" t="str">
            <v xml:space="preserve">Guwahati </v>
          </cell>
          <cell r="AJ1" t="str">
            <v xml:space="preserve">Hyderabad </v>
          </cell>
          <cell r="AK1" t="str">
            <v xml:space="preserve">Imphal </v>
          </cell>
          <cell r="AL1" t="str">
            <v xml:space="preserve">Jabalpur </v>
          </cell>
          <cell r="AM1" t="str">
            <v xml:space="preserve">Jaipur </v>
          </cell>
          <cell r="AN1" t="str">
            <v xml:space="preserve">Jamshedpur </v>
          </cell>
          <cell r="AO1" t="str">
            <v xml:space="preserve">Jhansi </v>
          </cell>
          <cell r="AP1" t="str">
            <v xml:space="preserve">Jodhpur </v>
          </cell>
          <cell r="AQ1" t="str">
            <v xml:space="preserve">Kanpur </v>
          </cell>
          <cell r="AR1" t="str">
            <v xml:space="preserve">Kohima </v>
          </cell>
          <cell r="AS1" t="str">
            <v xml:space="preserve">Kolkata </v>
          </cell>
          <cell r="AT1" t="str">
            <v xml:space="preserve">Kurnool </v>
          </cell>
          <cell r="AU1" t="str">
            <v xml:space="preserve">Lakshadweep </v>
          </cell>
          <cell r="AV1" t="str">
            <v xml:space="preserve">Lucknow </v>
          </cell>
          <cell r="AW1" t="str">
            <v xml:space="preserve">Ludhiana </v>
          </cell>
          <cell r="AX1" t="str">
            <v xml:space="preserve">Madurai </v>
          </cell>
          <cell r="AY1" t="str">
            <v xml:space="preserve">Mandi </v>
          </cell>
          <cell r="AZ1" t="str">
            <v xml:space="preserve">Mangalore </v>
          </cell>
          <cell r="BA1" t="str">
            <v xml:space="preserve">Moradabad </v>
          </cell>
          <cell r="BB1" t="str">
            <v xml:space="preserve">Mumbai </v>
          </cell>
          <cell r="BC1" t="str">
            <v xml:space="preserve">Mysore </v>
          </cell>
          <cell r="BD1" t="str">
            <v xml:space="preserve">Nagpur </v>
          </cell>
          <cell r="BE1" t="str">
            <v xml:space="preserve">Nainital </v>
          </cell>
          <cell r="BF1" t="str">
            <v xml:space="preserve">Nasik </v>
          </cell>
          <cell r="BG1" t="str">
            <v xml:space="preserve">Nellore </v>
          </cell>
          <cell r="BH1" t="str">
            <v xml:space="preserve">Panjim </v>
          </cell>
          <cell r="BI1" t="str">
            <v xml:space="preserve">Patiala </v>
          </cell>
          <cell r="BJ1" t="str">
            <v xml:space="preserve">Patna </v>
          </cell>
          <cell r="BK1" t="str">
            <v xml:space="preserve">Pondicherry </v>
          </cell>
          <cell r="BL1" t="str">
            <v xml:space="preserve">Port Blair </v>
          </cell>
          <cell r="BM1" t="str">
            <v xml:space="preserve">Pune </v>
          </cell>
          <cell r="BN1" t="str">
            <v xml:space="preserve">Raipur </v>
          </cell>
          <cell r="BO1" t="str">
            <v xml:space="preserve">Rajkot </v>
          </cell>
          <cell r="BP1" t="str">
            <v xml:space="preserve">Ranchi </v>
          </cell>
          <cell r="BQ1" t="str">
            <v xml:space="preserve">Roorkee </v>
          </cell>
          <cell r="BR1" t="str">
            <v xml:space="preserve">Rourkela </v>
          </cell>
          <cell r="BS1" t="str">
            <v xml:space="preserve">Shimla </v>
          </cell>
          <cell r="BT1" t="str">
            <v xml:space="preserve">Srinagar </v>
          </cell>
          <cell r="BU1" t="str">
            <v xml:space="preserve">Surat </v>
          </cell>
          <cell r="BV1" t="str">
            <v xml:space="preserve">Tiruchirapalli </v>
          </cell>
          <cell r="BW1" t="str">
            <v xml:space="preserve">Trivandrum </v>
          </cell>
          <cell r="BX1" t="str">
            <v xml:space="preserve">Udaipur </v>
          </cell>
          <cell r="BY1" t="str">
            <v xml:space="preserve">Vadodara </v>
          </cell>
          <cell r="BZ1" t="str">
            <v xml:space="preserve">Varanasi </v>
          </cell>
          <cell r="CA1" t="str">
            <v xml:space="preserve">Vijaywada </v>
          </cell>
          <cell r="CB1" t="str">
            <v xml:space="preserve">Visakhapatnam </v>
          </cell>
        </row>
        <row r="2">
          <cell r="C2" t="str">
            <v>Andaman and Nicobar</v>
          </cell>
          <cell r="BL2">
            <v>44</v>
          </cell>
        </row>
        <row r="3">
          <cell r="C3" t="str">
            <v>Andhra pradesh</v>
          </cell>
          <cell r="AT3">
            <v>39</v>
          </cell>
          <cell r="BG3">
            <v>50</v>
          </cell>
          <cell r="CA3">
            <v>50</v>
          </cell>
          <cell r="CB3">
            <v>50</v>
          </cell>
        </row>
        <row r="4">
          <cell r="C4" t="str">
            <v>Arunachal Pradesh</v>
          </cell>
        </row>
        <row r="5">
          <cell r="C5" t="str">
            <v>Assam</v>
          </cell>
          <cell r="AI5">
            <v>50</v>
          </cell>
        </row>
        <row r="6">
          <cell r="C6" t="str">
            <v>Bihar</v>
          </cell>
          <cell r="M6">
            <v>47</v>
          </cell>
          <cell r="AA6">
            <v>55</v>
          </cell>
          <cell r="AG6">
            <v>39</v>
          </cell>
          <cell r="BJ6">
            <v>47</v>
          </cell>
        </row>
        <row r="7">
          <cell r="C7" t="str">
            <v>Chhattisgarh</v>
          </cell>
          <cell r="O7">
            <v>39</v>
          </cell>
          <cell r="BH7">
            <v>39</v>
          </cell>
          <cell r="BN7">
            <v>39</v>
          </cell>
        </row>
        <row r="8">
          <cell r="C8" t="str">
            <v>Delhi</v>
          </cell>
          <cell r="AD8">
            <v>47</v>
          </cell>
          <cell r="AF8">
            <v>47</v>
          </cell>
        </row>
        <row r="9">
          <cell r="C9" t="str">
            <v>Goa</v>
          </cell>
        </row>
        <row r="10">
          <cell r="C10" t="str">
            <v>Gujrat</v>
          </cell>
          <cell r="E10">
            <v>39</v>
          </cell>
          <cell r="R10">
            <v>50</v>
          </cell>
          <cell r="BO10">
            <v>39</v>
          </cell>
          <cell r="BU10">
            <v>44</v>
          </cell>
          <cell r="BY10">
            <v>44</v>
          </cell>
        </row>
        <row r="11">
          <cell r="C11" t="str">
            <v>Haryana</v>
          </cell>
        </row>
        <row r="12">
          <cell r="C12" t="str">
            <v>Himachal Pradesh</v>
          </cell>
          <cell r="AY12">
            <v>39</v>
          </cell>
          <cell r="BS12">
            <v>39</v>
          </cell>
        </row>
        <row r="13">
          <cell r="C13" t="str">
            <v>Jammu and kashmir</v>
          </cell>
          <cell r="BT13">
            <v>39</v>
          </cell>
        </row>
        <row r="14">
          <cell r="C14" t="str">
            <v>Jharkhand</v>
          </cell>
          <cell r="T14">
            <v>47</v>
          </cell>
          <cell r="AN14">
            <v>47</v>
          </cell>
          <cell r="BP14">
            <v>39</v>
          </cell>
        </row>
        <row r="15">
          <cell r="C15" t="str">
            <v>Karnataka</v>
          </cell>
          <cell r="L15">
            <v>33</v>
          </cell>
          <cell r="AZ15">
            <v>33</v>
          </cell>
          <cell r="BC15">
            <v>33</v>
          </cell>
        </row>
        <row r="16">
          <cell r="C16" t="str">
            <v>Kerala</v>
          </cell>
          <cell r="V16">
            <v>39</v>
          </cell>
          <cell r="BW16">
            <v>39</v>
          </cell>
        </row>
        <row r="17">
          <cell r="C17" t="str">
            <v>Ladakh</v>
          </cell>
        </row>
        <row r="18">
          <cell r="C18" t="str">
            <v>Lakshadweep</v>
          </cell>
          <cell r="AU18">
            <v>39</v>
          </cell>
          <cell r="AW18">
            <v>47</v>
          </cell>
        </row>
        <row r="19">
          <cell r="C19" t="str">
            <v>Madhya Pradesh</v>
          </cell>
          <cell r="P19">
            <v>39</v>
          </cell>
          <cell r="AL19">
            <v>47</v>
          </cell>
          <cell r="BF19">
            <v>39</v>
          </cell>
        </row>
        <row r="20">
          <cell r="C20" t="str">
            <v>Maharashtra</v>
          </cell>
          <cell r="J20">
            <v>39</v>
          </cell>
          <cell r="BB20">
            <v>44</v>
          </cell>
          <cell r="BD20">
            <v>44</v>
          </cell>
          <cell r="BM20">
            <v>39</v>
          </cell>
        </row>
        <row r="21">
          <cell r="C21" t="str">
            <v>Manipur</v>
          </cell>
          <cell r="AK21">
            <v>47</v>
          </cell>
        </row>
        <row r="22">
          <cell r="C22" t="str">
            <v>Meghalaya</v>
          </cell>
        </row>
        <row r="23">
          <cell r="C23" t="str">
            <v>Mizoram</v>
          </cell>
        </row>
        <row r="24">
          <cell r="C24" t="str">
            <v>Nagaland</v>
          </cell>
          <cell r="AR24">
            <v>44</v>
          </cell>
        </row>
        <row r="25">
          <cell r="C25" t="str">
            <v>Odisha</v>
          </cell>
          <cell r="Q25">
            <v>50</v>
          </cell>
          <cell r="Z25">
            <v>50</v>
          </cell>
          <cell r="BR25">
            <v>39</v>
          </cell>
        </row>
        <row r="26">
          <cell r="C26" t="str">
            <v>Punjab</v>
          </cell>
          <cell r="D26"/>
          <cell r="H26">
            <v>47</v>
          </cell>
          <cell r="N26">
            <v>47</v>
          </cell>
          <cell r="W26">
            <v>47</v>
          </cell>
          <cell r="BI26">
            <v>47</v>
          </cell>
        </row>
        <row r="27">
          <cell r="C27" t="str">
            <v>Rajasthan</v>
          </cell>
          <cell r="F27">
            <v>47</v>
          </cell>
          <cell r="S27">
            <v>47</v>
          </cell>
          <cell r="AM27">
            <v>47</v>
          </cell>
          <cell r="AP27">
            <v>47</v>
          </cell>
          <cell r="BX27">
            <v>47</v>
          </cell>
        </row>
        <row r="28">
          <cell r="C28" t="str">
            <v>Sikkim</v>
          </cell>
        </row>
        <row r="29">
          <cell r="C29" t="str">
            <v>Tamil nadu</v>
          </cell>
          <cell r="X29">
            <v>50</v>
          </cell>
          <cell r="Y29">
            <v>39</v>
          </cell>
          <cell r="AX29">
            <v>39</v>
          </cell>
          <cell r="BK29">
            <v>50</v>
          </cell>
          <cell r="BV29">
            <v>47</v>
          </cell>
        </row>
        <row r="30">
          <cell r="C30" t="str">
            <v>Telangana</v>
          </cell>
          <cell r="AJ30">
            <v>44</v>
          </cell>
        </row>
        <row r="31">
          <cell r="C31" t="str">
            <v>Tripura</v>
          </cell>
        </row>
        <row r="32">
          <cell r="C32" t="str">
            <v>Uttar pradesh</v>
          </cell>
          <cell r="D32">
            <v>47</v>
          </cell>
          <cell r="K32">
            <v>47</v>
          </cell>
          <cell r="U32">
            <v>47</v>
          </cell>
          <cell r="AH32">
            <v>47</v>
          </cell>
          <cell r="AO32">
            <v>47</v>
          </cell>
          <cell r="AQ32">
            <v>47</v>
          </cell>
          <cell r="AV32">
            <v>47</v>
          </cell>
          <cell r="BA32">
            <v>47</v>
          </cell>
          <cell r="BZ32">
            <v>47</v>
          </cell>
        </row>
        <row r="33">
          <cell r="C33" t="str">
            <v>Uttarakhand</v>
          </cell>
          <cell r="G33">
            <v>47</v>
          </cell>
          <cell r="AC33">
            <v>47</v>
          </cell>
          <cell r="BE33">
            <v>47</v>
          </cell>
          <cell r="BQ33">
            <v>39</v>
          </cell>
        </row>
        <row r="34">
          <cell r="C34" t="str">
            <v>West Bengal</v>
          </cell>
          <cell r="I34">
            <v>47</v>
          </cell>
          <cell r="AB34">
            <v>47</v>
          </cell>
          <cell r="AE34">
            <v>47</v>
          </cell>
          <cell r="AS34">
            <v>50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56C1-6758-44E9-95E3-2277EBC01F37}">
  <dimension ref="A1:P37"/>
  <sheetViews>
    <sheetView tabSelected="1" topLeftCell="A5" zoomScale="56" zoomScaleNormal="130" workbookViewId="0">
      <selection activeCell="I26" sqref="I26"/>
    </sheetView>
  </sheetViews>
  <sheetFormatPr defaultRowHeight="15" x14ac:dyDescent="0.25"/>
  <cols>
    <col min="1" max="1" width="21.7109375" customWidth="1"/>
    <col min="2" max="2" width="28.42578125" customWidth="1"/>
    <col min="3" max="3" width="9.42578125" customWidth="1"/>
    <col min="4" max="4" width="19" customWidth="1"/>
    <col min="5" max="5" width="14.85546875" customWidth="1"/>
    <col min="6" max="6" width="12.140625" customWidth="1"/>
    <col min="8" max="8" width="14.7109375" customWidth="1"/>
    <col min="9" max="9" width="16.5703125" customWidth="1"/>
    <col min="10" max="10" width="11.140625" customWidth="1"/>
    <col min="13" max="13" width="11.42578125" customWidth="1"/>
    <col min="21" max="21" width="4.7109375" customWidth="1"/>
    <col min="24" max="24" width="4.7109375" customWidth="1"/>
    <col min="27" max="27" width="4.7109375" customWidth="1"/>
    <col min="30" max="30" width="4.7109375" customWidth="1"/>
    <col min="33" max="33" width="4.7109375" customWidth="1"/>
  </cols>
  <sheetData>
    <row r="1" spans="1:15" ht="26.45" customHeight="1" x14ac:dyDescent="0.25">
      <c r="A1" s="78" t="s">
        <v>207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3" spans="1:15" ht="15.75" x14ac:dyDescent="0.25">
      <c r="A3" s="63" t="s">
        <v>0</v>
      </c>
      <c r="B3" s="65" t="s">
        <v>124</v>
      </c>
      <c r="D3" s="63" t="s">
        <v>132</v>
      </c>
      <c r="E3" s="65">
        <v>3</v>
      </c>
    </row>
    <row r="4" spans="1:15" ht="15.75" x14ac:dyDescent="0.25">
      <c r="A4" s="63" t="s">
        <v>1</v>
      </c>
      <c r="B4" s="65">
        <f>IF(B3="Select a City",0,VLOOKUP(B3,Sheet3!A5:B81,2))</f>
        <v>44</v>
      </c>
      <c r="D4" s="63" t="s">
        <v>170</v>
      </c>
      <c r="E4" s="65">
        <v>900</v>
      </c>
    </row>
    <row r="5" spans="1:15" ht="29.45" customHeight="1" x14ac:dyDescent="0.25">
      <c r="A5" s="64" t="s">
        <v>2</v>
      </c>
      <c r="B5" s="73" t="s">
        <v>223</v>
      </c>
      <c r="D5" s="66" t="s">
        <v>169</v>
      </c>
      <c r="E5" s="65">
        <v>200</v>
      </c>
    </row>
    <row r="6" spans="1:15" ht="14.45" customHeight="1" x14ac:dyDescent="0.25">
      <c r="A6" s="71" t="s">
        <v>190</v>
      </c>
      <c r="B6" s="73">
        <f>VLOOKUP(B5,Sheet2!A6:H9,2)</f>
        <v>50</v>
      </c>
      <c r="I6" s="10"/>
      <c r="J6" s="14"/>
    </row>
    <row r="7" spans="1:15" ht="15.75" x14ac:dyDescent="0.25">
      <c r="A7" s="63" t="s">
        <v>3</v>
      </c>
      <c r="B7" s="65">
        <v>3</v>
      </c>
      <c r="D7" s="67" t="s">
        <v>185</v>
      </c>
      <c r="E7" s="68" t="s">
        <v>186</v>
      </c>
    </row>
    <row r="8" spans="1:15" ht="15.75" x14ac:dyDescent="0.25">
      <c r="A8" s="63" t="s">
        <v>5</v>
      </c>
      <c r="B8" s="65">
        <v>30</v>
      </c>
    </row>
    <row r="9" spans="1:15" ht="15.75" x14ac:dyDescent="0.25">
      <c r="A9" s="63" t="s">
        <v>6</v>
      </c>
      <c r="B9" s="65">
        <v>24</v>
      </c>
      <c r="I9" s="61"/>
      <c r="J9" s="62"/>
    </row>
    <row r="10" spans="1:15" ht="15.75" x14ac:dyDescent="0.25">
      <c r="A10" s="63" t="s">
        <v>7</v>
      </c>
      <c r="B10" s="65">
        <v>18</v>
      </c>
    </row>
    <row r="11" spans="1:15" ht="15.75" x14ac:dyDescent="0.25">
      <c r="A11" s="63" t="s">
        <v>4</v>
      </c>
      <c r="B11" s="65">
        <v>3</v>
      </c>
    </row>
    <row r="12" spans="1:15" ht="15.75" x14ac:dyDescent="0.25">
      <c r="A12" s="63" t="s">
        <v>191</v>
      </c>
      <c r="B12" s="65">
        <v>3</v>
      </c>
    </row>
    <row r="13" spans="1:15" ht="15.75" x14ac:dyDescent="0.25">
      <c r="A13" s="63" t="s">
        <v>196</v>
      </c>
      <c r="B13" s="65">
        <f>B11*B8</f>
        <v>90</v>
      </c>
    </row>
    <row r="16" spans="1:15" ht="30" customHeight="1" x14ac:dyDescent="0.25">
      <c r="A16" s="7" t="s">
        <v>8</v>
      </c>
      <c r="B16" s="7" t="s">
        <v>9</v>
      </c>
      <c r="C16" s="7" t="s">
        <v>10</v>
      </c>
      <c r="D16" s="7" t="s">
        <v>11</v>
      </c>
      <c r="E16" s="7" t="s">
        <v>12</v>
      </c>
      <c r="F16" s="7" t="s">
        <v>13</v>
      </c>
      <c r="G16" s="7" t="s">
        <v>17</v>
      </c>
      <c r="H16" s="7" t="s">
        <v>18</v>
      </c>
      <c r="I16" s="7" t="s">
        <v>14</v>
      </c>
      <c r="J16" s="7" t="s">
        <v>15</v>
      </c>
      <c r="K16" s="7" t="s">
        <v>16</v>
      </c>
      <c r="L16" s="7" t="s">
        <v>19</v>
      </c>
      <c r="M16" s="70"/>
      <c r="N16" s="70"/>
      <c r="O16" s="70"/>
    </row>
    <row r="17" spans="1:16" x14ac:dyDescent="0.25">
      <c r="A17" s="2">
        <f>IF(B8&lt;=10,B8,IF(B8&gt;10,10,0))</f>
        <v>10</v>
      </c>
      <c r="B17" s="9">
        <f>$B$4</f>
        <v>44</v>
      </c>
      <c r="C17" s="17">
        <f>Sheet2!$C$11</f>
        <v>1</v>
      </c>
      <c r="D17" s="2">
        <f>IF(AND($B$7=1,OR(A17=10,A17&lt;10)),Sheet2!M3,IF(AND($B$7=2,OR(A17=10,A17&lt;10)),Sheet2!N3,IF(AND($B$7=3,OR(A17=10,A17&lt;10)),Sheet2!O3,IF(AND($B$7=4,OR(A17=10,A17&lt;10)),Sheet2!P3,IF(AND($B$7=1,A17&lt;10),Sheet2!T7,IF(AND($B$7=2,A17&lt;10,Sheet2!T7,IF(AND($B$7=3,A17&lt;10),Sheet2!T7,IF(AND($B$7=4,A17&lt;10),Sheet2!T7,0))),0))))))</f>
        <v>0.91</v>
      </c>
      <c r="E17" s="17">
        <f>Sheet2!$K$30</f>
        <v>1</v>
      </c>
      <c r="F17" s="17">
        <v>1</v>
      </c>
      <c r="G17" s="17">
        <f>B17*C17*D17*E17*F17</f>
        <v>40.04</v>
      </c>
      <c r="H17" s="41">
        <f>(0.6*G17^2)/1000</f>
        <v>0.96192095999999994</v>
      </c>
      <c r="I17" s="17">
        <f>Sheet2!$I$56</f>
        <v>0.81333333333333335</v>
      </c>
      <c r="J17" s="2">
        <f>Sheet2!$B$61</f>
        <v>0.9</v>
      </c>
      <c r="K17" s="2">
        <v>1</v>
      </c>
      <c r="L17" s="41">
        <f>H17*I17*J17*K17</f>
        <v>0.70412614271999996</v>
      </c>
      <c r="M17" s="1"/>
      <c r="N17" s="1"/>
      <c r="O17" s="55"/>
    </row>
    <row r="18" spans="1:16" x14ac:dyDescent="0.25">
      <c r="A18" s="2">
        <f>IF(B8&lt;=15,B8,IF(B8&gt;15,15,0))</f>
        <v>15</v>
      </c>
      <c r="B18" s="9">
        <f t="shared" ref="B18:B20" si="0">$B$4</f>
        <v>44</v>
      </c>
      <c r="C18" s="17">
        <f>Sheet2!$C$11</f>
        <v>1</v>
      </c>
      <c r="D18" s="17">
        <f>IF(AND($B$7=1,OR(A18=15,10&lt;A18&lt;15)),Sheet2!M4,IF(AND($B$7=2,OR(A18=15,10&lt;A18&lt;15)),Sheet2!N4,IF(AND($B$7=3,OR(A18=15,10&lt;A18&lt;15)),Sheet2!O4,IF(AND($B$7=4,OR(A18=15,10&lt;A20&lt;15)),Sheet2!P4,Sheet2!$T$7))))</f>
        <v>0.97</v>
      </c>
      <c r="E18" s="17">
        <f>Sheet2!$K$30</f>
        <v>1</v>
      </c>
      <c r="F18" s="17">
        <v>1</v>
      </c>
      <c r="G18" s="17">
        <f>B18*C18*D18*E18*F18</f>
        <v>42.68</v>
      </c>
      <c r="H18" s="41">
        <f t="shared" ref="H18:H20" si="1">(0.6*G18^2)/1000</f>
        <v>1.0929494399999999</v>
      </c>
      <c r="I18" s="17">
        <f>Sheet2!$I$56</f>
        <v>0.81333333333333335</v>
      </c>
      <c r="J18" s="2">
        <f>Sheet2!$B$61</f>
        <v>0.9</v>
      </c>
      <c r="K18" s="2">
        <v>1</v>
      </c>
      <c r="L18" s="41">
        <f t="shared" ref="L18:L20" si="2">H18*I18*J18*K18</f>
        <v>0.80003899008000001</v>
      </c>
      <c r="M18" s="1"/>
      <c r="N18" s="1"/>
      <c r="O18" s="55"/>
    </row>
    <row r="19" spans="1:16" x14ac:dyDescent="0.25">
      <c r="A19" s="2">
        <f>IF(B8&lt;=20,B8,IF(B8&gt;20,20,0))</f>
        <v>20</v>
      </c>
      <c r="B19" s="9">
        <f t="shared" si="0"/>
        <v>44</v>
      </c>
      <c r="C19" s="17">
        <f>Sheet2!$C$11</f>
        <v>1</v>
      </c>
      <c r="D19" s="17">
        <f>IF(AND($B$7=1,OR(A19=20,15&lt;A19&lt;20)),Sheet2!M5,IF(AND($B$7=2,OR(A19=20,15&lt;A19&lt;20)),Sheet2!N5,IF(AND($B$7=3,OR(A19=20,15&lt;A19&lt;20)),Sheet2!O5,IF(AND($B$7=4,OR(A19=20,15&lt;A19&lt;20)),Sheet2!P5,Sheet2!$T$7))))</f>
        <v>1.01</v>
      </c>
      <c r="E19" s="17">
        <f>Sheet2!$K$30</f>
        <v>1</v>
      </c>
      <c r="F19" s="17">
        <v>1</v>
      </c>
      <c r="G19" s="17">
        <f>B19*C19*D19*E19*F19</f>
        <v>44.44</v>
      </c>
      <c r="H19" s="41">
        <f t="shared" si="1"/>
        <v>1.1849481599999998</v>
      </c>
      <c r="I19" s="17">
        <f>Sheet2!$I$56</f>
        <v>0.81333333333333335</v>
      </c>
      <c r="J19" s="2">
        <f>Sheet2!$B$61</f>
        <v>0.9</v>
      </c>
      <c r="K19" s="2">
        <v>1</v>
      </c>
      <c r="L19" s="41">
        <f t="shared" si="2"/>
        <v>0.86738205311999983</v>
      </c>
      <c r="M19" s="1"/>
      <c r="N19" s="1"/>
      <c r="O19" s="55"/>
    </row>
    <row r="20" spans="1:16" x14ac:dyDescent="0.25">
      <c r="A20" s="2">
        <f>IF(B8&lt;=30,B8,IF(B8&gt;30,30,0))</f>
        <v>30</v>
      </c>
      <c r="B20" s="9">
        <f t="shared" si="0"/>
        <v>44</v>
      </c>
      <c r="C20" s="17">
        <f>Sheet2!$C$11</f>
        <v>1</v>
      </c>
      <c r="D20" s="17">
        <f>IF(AND($B$7=1,OR(A20=30,20&lt;A20&lt;30)),Sheet2!M6,IF(AND($B$7=2,OR(A20=30,20&lt;A20&lt;30)),Sheet2!N6,IF(AND($B$7=3,OR(A20=30,20&lt;A20&lt;30)),Sheet2!O6,IF(AND($B$7=4,OR(A20=30,20&lt;A20&lt;30)),Sheet2!P6,Sheet2!$T$7))))</f>
        <v>1.06</v>
      </c>
      <c r="E20" s="17">
        <f>Sheet2!$K$30</f>
        <v>1</v>
      </c>
      <c r="F20" s="17">
        <v>1</v>
      </c>
      <c r="G20" s="17">
        <f>B20*C20*D20*E20*F20</f>
        <v>46.64</v>
      </c>
      <c r="H20" s="41">
        <f t="shared" si="1"/>
        <v>1.30517376</v>
      </c>
      <c r="I20" s="17">
        <f>Sheet2!$I$56</f>
        <v>0.81333333333333335</v>
      </c>
      <c r="J20" s="2">
        <f>Sheet2!$B$61</f>
        <v>0.9</v>
      </c>
      <c r="K20" s="2">
        <v>1</v>
      </c>
      <c r="L20" s="41">
        <f t="shared" si="2"/>
        <v>0.95538719232000013</v>
      </c>
      <c r="M20" s="1"/>
      <c r="N20" s="1"/>
      <c r="O20" s="55"/>
    </row>
    <row r="21" spans="1:16" x14ac:dyDescent="0.25">
      <c r="B21" s="1"/>
      <c r="C21" s="51"/>
      <c r="D21" s="1"/>
      <c r="E21" s="59"/>
      <c r="F21" s="1"/>
      <c r="G21" s="1"/>
      <c r="H21" s="59"/>
      <c r="I21" s="55"/>
      <c r="J21" s="59"/>
      <c r="K21" s="1"/>
      <c r="L21" s="1"/>
      <c r="M21" s="55"/>
      <c r="N21" s="1"/>
      <c r="O21" s="1"/>
      <c r="P21" s="55"/>
    </row>
    <row r="24" spans="1:16" ht="14.45" customHeight="1" x14ac:dyDescent="0.25">
      <c r="B24" s="4"/>
      <c r="C24" s="4"/>
    </row>
    <row r="26" spans="1:16" x14ac:dyDescent="0.25">
      <c r="C26" s="75"/>
      <c r="D26" s="75"/>
      <c r="E26" s="75"/>
      <c r="F26" s="75"/>
      <c r="G26" s="75"/>
      <c r="H26" s="75"/>
    </row>
    <row r="27" spans="1:16" x14ac:dyDescent="0.25">
      <c r="C27" s="4"/>
      <c r="D27" s="1"/>
      <c r="E27" s="77"/>
      <c r="F27" s="55"/>
      <c r="G27" s="55"/>
      <c r="H27" s="59"/>
    </row>
    <row r="28" spans="1:16" x14ac:dyDescent="0.25">
      <c r="C28" s="4"/>
      <c r="D28" s="1"/>
      <c r="E28" s="4"/>
      <c r="F28" s="55"/>
      <c r="G28" s="55"/>
      <c r="H28" s="59"/>
    </row>
    <row r="29" spans="1:16" x14ac:dyDescent="0.25">
      <c r="C29" s="4"/>
      <c r="D29" s="1"/>
      <c r="E29" s="4"/>
      <c r="F29" s="55"/>
      <c r="G29" s="55"/>
      <c r="H29" s="59"/>
    </row>
    <row r="30" spans="1:16" x14ac:dyDescent="0.25">
      <c r="C30" s="4"/>
      <c r="D30" s="1"/>
      <c r="E30" s="77"/>
      <c r="F30" s="55"/>
      <c r="G30" s="55"/>
      <c r="H30" s="59"/>
    </row>
    <row r="31" spans="1:16" x14ac:dyDescent="0.25">
      <c r="C31" s="4"/>
      <c r="D31" s="1"/>
      <c r="E31" s="4"/>
      <c r="F31" s="55"/>
      <c r="G31" s="55"/>
      <c r="H31" s="59"/>
    </row>
    <row r="32" spans="1:16" x14ac:dyDescent="0.25">
      <c r="C32" s="4"/>
      <c r="D32" s="1"/>
      <c r="E32" s="77"/>
      <c r="F32" s="55"/>
      <c r="G32" s="55"/>
      <c r="H32" s="59"/>
    </row>
    <row r="33" spans="3:8" x14ac:dyDescent="0.25">
      <c r="C33" s="4"/>
      <c r="D33" s="1"/>
      <c r="E33" s="4"/>
      <c r="F33" s="55"/>
      <c r="G33" s="55"/>
      <c r="H33" s="59"/>
    </row>
    <row r="34" spans="3:8" x14ac:dyDescent="0.25">
      <c r="C34" s="4"/>
      <c r="D34" s="1"/>
      <c r="E34" s="77"/>
      <c r="F34" s="76"/>
    </row>
    <row r="35" spans="3:8" x14ac:dyDescent="0.25">
      <c r="C35" s="4"/>
      <c r="D35" s="1"/>
      <c r="E35" s="4"/>
      <c r="F35" s="76"/>
    </row>
    <row r="36" spans="3:8" x14ac:dyDescent="0.25">
      <c r="C36" s="4"/>
      <c r="D36" s="1"/>
      <c r="E36" s="4"/>
      <c r="F36" s="76"/>
    </row>
    <row r="37" spans="3:8" x14ac:dyDescent="0.25">
      <c r="F37" s="32"/>
    </row>
  </sheetData>
  <dataConsolidate/>
  <mergeCells count="1">
    <mergeCell ref="A1:L1"/>
  </mergeCells>
  <pageMargins left="0.7" right="0.7" top="0.75" bottom="0.75" header="0.3" footer="0.3"/>
  <pageSetup paperSize="9" orientation="portrait" horizontalDpi="4294967293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F09FFF2-8965-4437-841B-327847026840}">
          <x14:formula1>
            <xm:f>Sheet2!$M$2:$P$2</xm:f>
          </x14:formula1>
          <xm:sqref>B7</xm:sqref>
        </x14:dataValidation>
        <x14:dataValidation type="list" allowBlank="1" showInputMessage="1" showErrorMessage="1" xr:uid="{9691EB0E-4DEC-4A2C-A610-50A2D5A11AB6}">
          <x14:formula1>
            <xm:f>Sheet2!$A$65:$A$69</xm:f>
          </x14:formula1>
          <xm:sqref>E7</xm:sqref>
        </x14:dataValidation>
        <x14:dataValidation type="list" allowBlank="1" showInputMessage="1" showErrorMessage="1" xr:uid="{EBCD92A4-F722-4D38-839D-DC237A955500}">
          <x14:formula1>
            <xm:f>Sheet3!$A$4:$A$81</xm:f>
          </x14:formula1>
          <xm:sqref>B3</xm:sqref>
        </x14:dataValidation>
        <x14:dataValidation type="list" allowBlank="1" showInputMessage="1" showErrorMessage="1" xr:uid="{F61C27FA-F9A3-4978-B5F4-DCDA8FD3F860}">
          <x14:formula1>
            <xm:f>Sheet2!$A$6:$A$9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2F99-E37E-4AEC-904E-19945B3AE5F6}">
  <dimension ref="A1:T69"/>
  <sheetViews>
    <sheetView topLeftCell="A33" workbookViewId="0">
      <selection activeCell="L54" sqref="L54"/>
    </sheetView>
  </sheetViews>
  <sheetFormatPr defaultRowHeight="15" x14ac:dyDescent="0.25"/>
  <cols>
    <col min="1" max="2" width="42.28515625" customWidth="1"/>
    <col min="4" max="4" width="12.140625" customWidth="1"/>
    <col min="5" max="5" width="10.28515625" customWidth="1"/>
    <col min="6" max="6" width="10.7109375" customWidth="1"/>
    <col min="19" max="19" width="16.28515625" customWidth="1"/>
  </cols>
  <sheetData>
    <row r="1" spans="1:20" x14ac:dyDescent="0.25">
      <c r="A1" t="s">
        <v>133</v>
      </c>
      <c r="I1">
        <f>IF(B14=33,3,IF(B14=39,4,IF(B14=44,5,IF(B14=47,6,IF(B14=50,7,IF(B14=55,8,0))))))</f>
        <v>5</v>
      </c>
      <c r="L1" s="3" t="s">
        <v>134</v>
      </c>
      <c r="M1" s="81" t="s">
        <v>135</v>
      </c>
      <c r="N1" s="81"/>
      <c r="O1" s="81"/>
      <c r="P1" s="81"/>
      <c r="T1" s="12">
        <f>IF(T5=1,2,IF(T5=2,3,IF(T5=3,4,IF(T5=4,5,0))))</f>
        <v>4</v>
      </c>
    </row>
    <row r="2" spans="1:20" x14ac:dyDescent="0.25">
      <c r="A2" t="s">
        <v>23</v>
      </c>
      <c r="C2" t="s">
        <v>23</v>
      </c>
      <c r="L2" s="3" t="s">
        <v>136</v>
      </c>
      <c r="M2" s="11">
        <v>1</v>
      </c>
      <c r="N2" s="11">
        <v>2</v>
      </c>
      <c r="O2" s="11">
        <v>3</v>
      </c>
      <c r="P2" s="11">
        <v>4</v>
      </c>
      <c r="T2" s="1"/>
    </row>
    <row r="3" spans="1:20" x14ac:dyDescent="0.25">
      <c r="B3" s="72"/>
      <c r="C3" s="83"/>
      <c r="D3" s="83"/>
      <c r="E3" s="83"/>
      <c r="F3" s="83"/>
      <c r="G3" s="83"/>
      <c r="H3" s="83"/>
      <c r="L3" s="3">
        <v>10</v>
      </c>
      <c r="M3" s="3">
        <v>1.05</v>
      </c>
      <c r="N3" s="3">
        <v>1</v>
      </c>
      <c r="O3" s="3">
        <v>0.91</v>
      </c>
      <c r="P3" s="3">
        <v>0.8</v>
      </c>
      <c r="T3" s="1"/>
    </row>
    <row r="4" spans="1:20" ht="17.45" customHeight="1" x14ac:dyDescent="0.25">
      <c r="A4" s="80" t="s">
        <v>218</v>
      </c>
      <c r="B4" s="80" t="s">
        <v>219</v>
      </c>
      <c r="C4" s="81" t="s">
        <v>220</v>
      </c>
      <c r="D4" s="81"/>
      <c r="E4" s="81"/>
      <c r="F4" s="81"/>
      <c r="G4" s="81"/>
      <c r="H4" s="81"/>
      <c r="L4" s="3">
        <v>15</v>
      </c>
      <c r="M4" s="3">
        <v>1.0900000000000001</v>
      </c>
      <c r="N4" s="3">
        <v>1.05</v>
      </c>
      <c r="O4" s="3">
        <v>0.97</v>
      </c>
      <c r="P4" s="3">
        <v>0.8</v>
      </c>
      <c r="S4" s="6" t="s">
        <v>8</v>
      </c>
      <c r="T4" s="14">
        <f>Sheet1!B8</f>
        <v>30</v>
      </c>
    </row>
    <row r="5" spans="1:20" ht="18.600000000000001" customHeight="1" x14ac:dyDescent="0.25">
      <c r="A5" s="80"/>
      <c r="B5" s="80"/>
      <c r="C5" s="57">
        <v>33</v>
      </c>
      <c r="D5" s="57">
        <v>39</v>
      </c>
      <c r="E5" s="57">
        <v>44</v>
      </c>
      <c r="F5" s="57">
        <v>47</v>
      </c>
      <c r="G5" s="57">
        <v>50</v>
      </c>
      <c r="H5" s="57">
        <v>55</v>
      </c>
      <c r="L5" s="3">
        <v>20</v>
      </c>
      <c r="M5" s="3">
        <v>1.1200000000000001</v>
      </c>
      <c r="N5" s="3">
        <v>1.07</v>
      </c>
      <c r="O5" s="3">
        <v>1.01</v>
      </c>
      <c r="P5" s="3">
        <v>0.8</v>
      </c>
      <c r="S5" s="8" t="s">
        <v>3</v>
      </c>
      <c r="T5" s="14">
        <f>Sheet1!B7</f>
        <v>3</v>
      </c>
    </row>
    <row r="6" spans="1:20" ht="27.6" customHeight="1" x14ac:dyDescent="0.25">
      <c r="A6" s="3" t="s">
        <v>221</v>
      </c>
      <c r="B6" s="3">
        <v>5</v>
      </c>
      <c r="C6" s="3">
        <v>0.82</v>
      </c>
      <c r="D6" s="3">
        <v>0.76</v>
      </c>
      <c r="E6" s="3">
        <v>0.73</v>
      </c>
      <c r="F6" s="3">
        <v>0.71</v>
      </c>
      <c r="G6" s="3">
        <v>0.7</v>
      </c>
      <c r="H6" s="3">
        <v>0.67</v>
      </c>
      <c r="L6" s="3">
        <v>30</v>
      </c>
      <c r="M6" s="3">
        <v>1.1499999999999999</v>
      </c>
      <c r="N6" s="3">
        <v>1.1200000000000001</v>
      </c>
      <c r="O6" s="3">
        <v>1.06</v>
      </c>
      <c r="P6" s="3">
        <v>0.97</v>
      </c>
    </row>
    <row r="7" spans="1:20" ht="21" customHeight="1" x14ac:dyDescent="0.25">
      <c r="A7" s="3" t="s">
        <v>222</v>
      </c>
      <c r="B7" s="3">
        <v>25</v>
      </c>
      <c r="C7" s="3">
        <v>0.94</v>
      </c>
      <c r="D7" s="3">
        <v>0.92</v>
      </c>
      <c r="E7" s="3">
        <v>0.91</v>
      </c>
      <c r="F7" s="3">
        <v>0.9</v>
      </c>
      <c r="G7" s="3">
        <v>0.9</v>
      </c>
      <c r="H7" s="3">
        <v>0.89</v>
      </c>
      <c r="L7" s="3">
        <v>50</v>
      </c>
      <c r="M7" s="3">
        <v>1.2</v>
      </c>
      <c r="N7" s="3">
        <v>1.17</v>
      </c>
      <c r="O7" s="3">
        <v>1.1200000000000001</v>
      </c>
      <c r="P7" s="3">
        <v>1.1000000000000001</v>
      </c>
      <c r="S7" s="1" t="s">
        <v>11</v>
      </c>
      <c r="T7" s="1">
        <f>T14</f>
        <v>1.06</v>
      </c>
    </row>
    <row r="8" spans="1:20" ht="22.9" customHeight="1" x14ac:dyDescent="0.25">
      <c r="A8" s="3" t="s">
        <v>147</v>
      </c>
      <c r="B8" s="3">
        <v>100</v>
      </c>
      <c r="C8" s="3">
        <v>1.05</v>
      </c>
      <c r="D8" s="3">
        <v>1.06</v>
      </c>
      <c r="E8" s="3">
        <v>1.07</v>
      </c>
      <c r="F8" s="3">
        <v>1.07</v>
      </c>
      <c r="G8" s="3">
        <v>1.08</v>
      </c>
      <c r="H8" s="3">
        <v>1.08</v>
      </c>
      <c r="L8" s="3">
        <v>100</v>
      </c>
      <c r="M8" s="3">
        <v>1.26</v>
      </c>
      <c r="N8" s="3">
        <v>1.24</v>
      </c>
      <c r="O8" s="3">
        <v>1.2</v>
      </c>
      <c r="P8" s="3">
        <v>1.2</v>
      </c>
    </row>
    <row r="9" spans="1:20" x14ac:dyDescent="0.25">
      <c r="A9" s="3" t="s">
        <v>223</v>
      </c>
      <c r="B9" s="3">
        <v>50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L9" s="3">
        <v>150</v>
      </c>
      <c r="M9" s="3">
        <v>1.3</v>
      </c>
      <c r="N9" s="3">
        <v>1.28</v>
      </c>
      <c r="O9" s="3">
        <v>1.24</v>
      </c>
      <c r="P9" s="3">
        <v>1.24</v>
      </c>
      <c r="S9" s="5" t="s">
        <v>137</v>
      </c>
      <c r="T9" s="5">
        <f>T4</f>
        <v>30</v>
      </c>
    </row>
    <row r="10" spans="1:20" x14ac:dyDescent="0.25">
      <c r="A10" s="74" t="s">
        <v>224</v>
      </c>
      <c r="L10" s="3">
        <v>200</v>
      </c>
      <c r="M10" s="3">
        <v>1.32</v>
      </c>
      <c r="N10" s="3">
        <v>1.3</v>
      </c>
      <c r="O10" s="3">
        <v>1.27</v>
      </c>
      <c r="P10" s="3">
        <v>1.27</v>
      </c>
      <c r="S10" s="5" t="s">
        <v>138</v>
      </c>
      <c r="T10" s="5">
        <f>IF(T9&gt;=500,500,IF(T9&gt;450,450,IF(T9&gt;400,400,IF(T9&gt;350,350,IF(T9&gt;300,300,IF(T9&gt;250,250,IF(T9&gt;200,200,IF(T9&gt;150,150,IF(T9&gt;100,100,IF(T9&gt;50,50,IF(T9&gt;30,30,IF(T9&gt;20,20,IF(T9&gt;15,15,IF(T9&gt;10,10,IF(T9&gt;=0,0,0)))))))))))))))</f>
        <v>20</v>
      </c>
    </row>
    <row r="11" spans="1:20" x14ac:dyDescent="0.25">
      <c r="B11" s="16" t="s">
        <v>143</v>
      </c>
      <c r="C11" s="15">
        <f>VLOOKUP(B13,A6:H9,I1)</f>
        <v>1</v>
      </c>
      <c r="L11" s="3">
        <v>250</v>
      </c>
      <c r="M11" s="3">
        <v>1.34</v>
      </c>
      <c r="N11" s="3">
        <v>1.32</v>
      </c>
      <c r="O11" s="3">
        <v>1.29</v>
      </c>
      <c r="P11" s="3">
        <v>1.28</v>
      </c>
      <c r="S11" s="5" t="s">
        <v>139</v>
      </c>
      <c r="T11" s="5">
        <f>IF(T9&lt;=10,10,IF(T9&lt;=15,15,IF(T9&lt;=20,20,IF(T9&lt;=30,30,IF(T9&lt;=50,50,IF(T9&lt;=100,100,IF(T9&lt;=150,150,IF(T9&lt;=200,200,IF(T9&lt;=250,250,IF(T9&lt;=300,300,IF(T9&lt;=350,350,IF(T9&lt;=400,400,IF(T9&lt;=450,450,IF(T9&lt;=500,500,0))))))))))))))</f>
        <v>30</v>
      </c>
    </row>
    <row r="12" spans="1:20" x14ac:dyDescent="0.25">
      <c r="A12" s="14" t="s">
        <v>190</v>
      </c>
      <c r="B12" s="14">
        <f>Sheet1!B6</f>
        <v>50</v>
      </c>
      <c r="L12" s="3">
        <v>300</v>
      </c>
      <c r="M12" s="3">
        <v>1.35</v>
      </c>
      <c r="N12" s="3">
        <v>1.34</v>
      </c>
      <c r="O12" s="3">
        <v>1.31</v>
      </c>
      <c r="P12" s="3">
        <v>1.3</v>
      </c>
      <c r="S12" s="5" t="s">
        <v>140</v>
      </c>
      <c r="T12" s="5">
        <f>IF(T5=1,VLOOKUP(T9,L3:P16,T1),IF(T5=2,VLOOKUP(T9,L3:P16,T1),IF(T5=3,VLOOKUP(T9,L3:P16,T1),IF(T5=4,VLOOKUP(T9,L3:P16,T1),0))))</f>
        <v>1.06</v>
      </c>
    </row>
    <row r="13" spans="1:20" ht="41.45" customHeight="1" x14ac:dyDescent="0.25">
      <c r="A13" s="10" t="s">
        <v>2</v>
      </c>
      <c r="B13" s="10" t="str">
        <f>Sheet1!B5</f>
        <v>D</v>
      </c>
      <c r="D13" s="1"/>
      <c r="L13" s="3">
        <v>350</v>
      </c>
      <c r="M13" s="3">
        <v>1.37</v>
      </c>
      <c r="N13" s="3">
        <v>1.36</v>
      </c>
      <c r="O13" s="3">
        <v>1.32</v>
      </c>
      <c r="P13" s="3">
        <v>1.31</v>
      </c>
      <c r="S13" s="5" t="s">
        <v>141</v>
      </c>
      <c r="T13" s="5">
        <f>IF(T5=1,VLOOKUP(T11,L3:P16,T1),IF(T5=2,VLOOKUP(T11,L3:P16,T1),IF(T5=3,VLOOKUP(T11,L3:P16,T1),IF(T5=4,VLOOKUP(T11,L3:P16,T1)))))</f>
        <v>1.06</v>
      </c>
    </row>
    <row r="14" spans="1:20" ht="15.6" customHeight="1" x14ac:dyDescent="0.25">
      <c r="A14" s="13" t="s">
        <v>1</v>
      </c>
      <c r="B14" s="14">
        <f>Sheet1!B4</f>
        <v>44</v>
      </c>
      <c r="L14" s="3">
        <v>400</v>
      </c>
      <c r="M14" s="3">
        <v>1.38</v>
      </c>
      <c r="N14" s="3">
        <v>1.37</v>
      </c>
      <c r="O14" s="3">
        <v>1.34</v>
      </c>
      <c r="P14" s="3">
        <v>1.32</v>
      </c>
      <c r="S14" s="5" t="s">
        <v>142</v>
      </c>
      <c r="T14" s="5">
        <f>T12+(T13-T12)/(T11-T10)*(T9-T10)</f>
        <v>1.06</v>
      </c>
    </row>
    <row r="15" spans="1:20" x14ac:dyDescent="0.25">
      <c r="L15" s="3">
        <v>450</v>
      </c>
      <c r="M15" s="3">
        <v>1.39</v>
      </c>
      <c r="N15" s="3">
        <v>1.38</v>
      </c>
      <c r="O15" s="3">
        <v>1.35</v>
      </c>
      <c r="P15" s="3">
        <v>1.33</v>
      </c>
    </row>
    <row r="16" spans="1:20" x14ac:dyDescent="0.25">
      <c r="L16" s="3">
        <v>500</v>
      </c>
      <c r="M16" s="3">
        <v>1.4</v>
      </c>
      <c r="N16" s="3">
        <v>1.39</v>
      </c>
      <c r="O16" s="3">
        <v>1.36</v>
      </c>
      <c r="P16" s="3">
        <v>1.34</v>
      </c>
    </row>
    <row r="22" spans="3:18" x14ac:dyDescent="0.25">
      <c r="C22" s="3" t="s">
        <v>184</v>
      </c>
      <c r="F22" t="s">
        <v>144</v>
      </c>
      <c r="P22" s="40" t="s">
        <v>168</v>
      </c>
      <c r="R22" s="40" t="s">
        <v>168</v>
      </c>
    </row>
    <row r="23" spans="3:18" x14ac:dyDescent="0.25">
      <c r="C23" s="3">
        <v>1</v>
      </c>
    </row>
    <row r="24" spans="3:18" x14ac:dyDescent="0.25">
      <c r="C24" s="3">
        <v>0.8</v>
      </c>
      <c r="F24" s="3" t="s">
        <v>145</v>
      </c>
      <c r="G24" s="3" t="s">
        <v>146</v>
      </c>
      <c r="I24" s="3" t="s">
        <v>145</v>
      </c>
      <c r="J24" s="3" t="s">
        <v>147</v>
      </c>
      <c r="K24" s="32">
        <f>1.2*(G29/G30)</f>
        <v>6.2889335139649449E-2</v>
      </c>
    </row>
    <row r="25" spans="3:18" x14ac:dyDescent="0.25">
      <c r="C25" s="3">
        <v>0.8</v>
      </c>
      <c r="F25" s="3" t="s">
        <v>148</v>
      </c>
      <c r="G25" s="18" t="s">
        <v>149</v>
      </c>
      <c r="I25" s="3" t="s">
        <v>148</v>
      </c>
      <c r="J25" s="18" t="s">
        <v>150</v>
      </c>
    </row>
    <row r="26" spans="3:18" x14ac:dyDescent="0.25">
      <c r="C26" s="3">
        <v>0.95</v>
      </c>
      <c r="F26" s="19" t="s">
        <v>151</v>
      </c>
      <c r="G26" s="18" t="s">
        <v>152</v>
      </c>
      <c r="I26" s="19" t="s">
        <v>151</v>
      </c>
      <c r="J26" s="3">
        <v>0.36</v>
      </c>
    </row>
    <row r="27" spans="3:18" x14ac:dyDescent="0.25">
      <c r="C27" s="3">
        <v>1</v>
      </c>
    </row>
    <row r="28" spans="3:18" x14ac:dyDescent="0.25">
      <c r="F28" s="20" t="s">
        <v>153</v>
      </c>
      <c r="G28" s="21">
        <f>Sheet1!E3</f>
        <v>3</v>
      </c>
      <c r="J28" t="s">
        <v>154</v>
      </c>
      <c r="K28">
        <v>1</v>
      </c>
    </row>
    <row r="29" spans="3:18" x14ac:dyDescent="0.25">
      <c r="F29" t="s">
        <v>155</v>
      </c>
      <c r="G29" s="22">
        <f>Sheet1!E4</f>
        <v>900</v>
      </c>
      <c r="J29" t="s">
        <v>156</v>
      </c>
      <c r="K29" s="23">
        <f>1+G31*G32</f>
        <v>1</v>
      </c>
    </row>
    <row r="30" spans="3:18" x14ac:dyDescent="0.25">
      <c r="F30" t="s">
        <v>149</v>
      </c>
      <c r="G30" s="24">
        <f>K31</f>
        <v>17173.023018955388</v>
      </c>
      <c r="J30" t="s">
        <v>12</v>
      </c>
      <c r="K30" s="25">
        <f>IF(G28&lt;=3,K28,IF(G28&gt;3,K29,0))</f>
        <v>1</v>
      </c>
    </row>
    <row r="31" spans="3:18" x14ac:dyDescent="0.25">
      <c r="F31" t="s">
        <v>147</v>
      </c>
      <c r="G31" s="26">
        <f>IF(AND(G28&gt;3,G28&lt;=17),K24,IF(G28&gt;17,J26,0))</f>
        <v>0</v>
      </c>
      <c r="J31" t="s">
        <v>149</v>
      </c>
      <c r="K31" s="27">
        <f>G29/TAN(RADIANS(G28))</f>
        <v>17173.023018955388</v>
      </c>
    </row>
    <row r="32" spans="3:18" x14ac:dyDescent="0.25">
      <c r="F32" t="s">
        <v>157</v>
      </c>
      <c r="G32" s="28">
        <v>0.7</v>
      </c>
      <c r="O32" s="34" t="s">
        <v>161</v>
      </c>
    </row>
    <row r="33" spans="5:19" ht="18.75" x14ac:dyDescent="0.25">
      <c r="G33" s="29"/>
      <c r="J33" t="s">
        <v>137</v>
      </c>
      <c r="K33">
        <f>Sheet1!E5</f>
        <v>200</v>
      </c>
      <c r="O33" s="35" t="s">
        <v>162</v>
      </c>
      <c r="R33" s="35" t="s">
        <v>163</v>
      </c>
    </row>
    <row r="34" spans="5:19" x14ac:dyDescent="0.25">
      <c r="G34" s="30"/>
      <c r="J34" t="s">
        <v>158</v>
      </c>
      <c r="K34" s="27">
        <f>(G29*(G30-K33))/G30</f>
        <v>889.51844414339178</v>
      </c>
      <c r="O34" s="36"/>
      <c r="P34" s="36"/>
      <c r="R34" s="37"/>
    </row>
    <row r="35" spans="5:19" x14ac:dyDescent="0.25">
      <c r="G35" s="31"/>
      <c r="P35" s="38" t="s">
        <v>164</v>
      </c>
      <c r="Q35" s="38"/>
      <c r="R35" s="38"/>
      <c r="S35" s="39"/>
    </row>
    <row r="36" spans="5:19" x14ac:dyDescent="0.25">
      <c r="G36" s="31"/>
      <c r="J36" t="s">
        <v>159</v>
      </c>
      <c r="K36" s="32">
        <f>K33/G30</f>
        <v>1.1646173174009159E-2</v>
      </c>
    </row>
    <row r="37" spans="5:19" x14ac:dyDescent="0.25">
      <c r="G37" s="33"/>
      <c r="J37" t="s">
        <v>160</v>
      </c>
      <c r="K37" s="32">
        <f>K34/G30</f>
        <v>5.1797429209845668E-2</v>
      </c>
    </row>
    <row r="39" spans="5:19" x14ac:dyDescent="0.25">
      <c r="P39" s="40" t="s">
        <v>168</v>
      </c>
      <c r="R39" s="40" t="s">
        <v>168</v>
      </c>
    </row>
    <row r="45" spans="5:19" ht="15.6" customHeight="1" x14ac:dyDescent="0.25"/>
    <row r="46" spans="5:19" ht="28.15" customHeight="1" x14ac:dyDescent="0.25">
      <c r="E46" s="87" t="s">
        <v>181</v>
      </c>
      <c r="F46" s="82"/>
    </row>
    <row r="47" spans="5:19" ht="15.75" thickBot="1" x14ac:dyDescent="0.3">
      <c r="E47" s="42"/>
    </row>
    <row r="48" spans="5:19" x14ac:dyDescent="0.25">
      <c r="E48" s="84" t="s">
        <v>176</v>
      </c>
      <c r="F48" s="43" t="s">
        <v>177</v>
      </c>
      <c r="H48">
        <v>6</v>
      </c>
    </row>
    <row r="49" spans="1:18" x14ac:dyDescent="0.25">
      <c r="E49" s="85"/>
      <c r="F49" s="44" t="s">
        <v>178</v>
      </c>
      <c r="O49" s="34" t="s">
        <v>165</v>
      </c>
    </row>
    <row r="50" spans="1:18" ht="19.5" thickBot="1" x14ac:dyDescent="0.3">
      <c r="E50" s="86"/>
      <c r="F50" s="45" t="s">
        <v>179</v>
      </c>
      <c r="O50" s="35" t="s">
        <v>166</v>
      </c>
      <c r="P50" s="37"/>
      <c r="R50" s="35" t="s">
        <v>163</v>
      </c>
    </row>
    <row r="51" spans="1:18" ht="15.75" thickBot="1" x14ac:dyDescent="0.3">
      <c r="E51" s="46">
        <v>10</v>
      </c>
      <c r="F51" s="47">
        <v>1</v>
      </c>
      <c r="H51" s="2" t="s">
        <v>137</v>
      </c>
      <c r="I51" s="2">
        <f>Sheet1!B13</f>
        <v>90</v>
      </c>
      <c r="P51" s="82" t="s">
        <v>167</v>
      </c>
      <c r="Q51" s="82"/>
      <c r="R51" s="82"/>
    </row>
    <row r="52" spans="1:18" ht="15.75" thickBot="1" x14ac:dyDescent="0.3">
      <c r="E52" s="48">
        <v>25</v>
      </c>
      <c r="F52" s="47">
        <v>0.9</v>
      </c>
      <c r="H52" s="2" t="s">
        <v>138</v>
      </c>
      <c r="I52" s="5">
        <f>IF(I51&gt;100,100,IF(I51&gt;25,25,IF(I51&gt;10,10,IF(I51&lt;0,0,0))))</f>
        <v>25</v>
      </c>
      <c r="P52" s="39"/>
      <c r="Q52" s="39"/>
      <c r="R52" s="39"/>
    </row>
    <row r="53" spans="1:18" ht="15.75" thickBot="1" x14ac:dyDescent="0.3">
      <c r="E53" s="46">
        <v>100</v>
      </c>
      <c r="F53" s="47">
        <v>0.8</v>
      </c>
      <c r="H53" s="2" t="s">
        <v>139</v>
      </c>
      <c r="I53" s="5">
        <f>IF(I51&lt;=10,10,IF(I51&lt;=25,25,IF(100&gt;I51&gt;=100,100,0)))</f>
        <v>100</v>
      </c>
    </row>
    <row r="54" spans="1:18" x14ac:dyDescent="0.25">
      <c r="E54" s="40" t="s">
        <v>23</v>
      </c>
      <c r="H54" s="2" t="s">
        <v>140</v>
      </c>
      <c r="I54" s="5">
        <f>IF(I52&lt;=10,1,IF(I52=25,0.9,IF(I52=100,0.8,0)))</f>
        <v>0.9</v>
      </c>
    </row>
    <row r="55" spans="1:18" x14ac:dyDescent="0.25">
      <c r="H55" s="2" t="s">
        <v>141</v>
      </c>
      <c r="I55" s="5">
        <f>IF(I53=10,1,IF(I53=25,0.9,IF(I53=100,0.8,0)))</f>
        <v>0.8</v>
      </c>
    </row>
    <row r="56" spans="1:18" x14ac:dyDescent="0.25">
      <c r="H56" s="2" t="s">
        <v>142</v>
      </c>
      <c r="I56" s="58">
        <f>IF(I51&gt;100,0.8,I54+((I55-I54)/(I53-I52))*(I51-I52))</f>
        <v>0.81333333333333335</v>
      </c>
    </row>
    <row r="59" spans="1:18" ht="120" x14ac:dyDescent="0.25">
      <c r="A59" s="50" t="s">
        <v>182</v>
      </c>
      <c r="B59" s="2">
        <v>0.9</v>
      </c>
      <c r="C59" s="2">
        <v>1</v>
      </c>
    </row>
    <row r="61" spans="1:18" x14ac:dyDescent="0.25">
      <c r="A61" s="1" t="s">
        <v>183</v>
      </c>
      <c r="B61" s="1">
        <f>IF(OR(B62="Rectangular",B62="Triangular",B62="Square"),0.9,IF(OR(B62="Circular",B62="Cyclonic Region"),1,0))</f>
        <v>0.9</v>
      </c>
    </row>
    <row r="62" spans="1:18" x14ac:dyDescent="0.25">
      <c r="B62" t="str">
        <f>Sheet1!E7</f>
        <v>Rectangular</v>
      </c>
    </row>
    <row r="65" spans="1:2" x14ac:dyDescent="0.25">
      <c r="A65" s="3" t="s">
        <v>186</v>
      </c>
      <c r="B65" s="2">
        <v>0.9</v>
      </c>
    </row>
    <row r="66" spans="1:2" x14ac:dyDescent="0.25">
      <c r="A66" s="3" t="s">
        <v>187</v>
      </c>
      <c r="B66" s="2">
        <v>0.9</v>
      </c>
    </row>
    <row r="67" spans="1:2" x14ac:dyDescent="0.25">
      <c r="A67" s="3" t="s">
        <v>188</v>
      </c>
      <c r="B67" s="2">
        <v>0.9</v>
      </c>
    </row>
    <row r="68" spans="1:2" x14ac:dyDescent="0.25">
      <c r="A68" s="3" t="s">
        <v>205</v>
      </c>
      <c r="B68" s="2">
        <v>1</v>
      </c>
    </row>
    <row r="69" spans="1:2" x14ac:dyDescent="0.25">
      <c r="A69" s="3" t="s">
        <v>189</v>
      </c>
      <c r="B69" s="2">
        <v>1</v>
      </c>
    </row>
  </sheetData>
  <mergeCells count="8">
    <mergeCell ref="A4:A5"/>
    <mergeCell ref="B4:B5"/>
    <mergeCell ref="C4:H4"/>
    <mergeCell ref="P51:R51"/>
    <mergeCell ref="M1:P1"/>
    <mergeCell ref="C3:H3"/>
    <mergeCell ref="E48:E50"/>
    <mergeCell ref="E46:F4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B3FA-5C1C-46B4-B48E-E31250E0D0B7}">
  <dimension ref="A1:C81"/>
  <sheetViews>
    <sheetView workbookViewId="0">
      <selection activeCell="G19" sqref="G19"/>
    </sheetView>
  </sheetViews>
  <sheetFormatPr defaultRowHeight="15" x14ac:dyDescent="0.25"/>
  <cols>
    <col min="1" max="1" width="14.7109375" customWidth="1"/>
    <col min="2" max="2" width="20.7109375" customWidth="1"/>
    <col min="3" max="3" width="16.28515625" customWidth="1"/>
  </cols>
  <sheetData>
    <row r="1" spans="1:3" x14ac:dyDescent="0.25">
      <c r="A1" t="s">
        <v>22</v>
      </c>
    </row>
    <row r="2" spans="1:3" x14ac:dyDescent="0.25">
      <c r="A2" t="s">
        <v>23</v>
      </c>
    </row>
    <row r="3" spans="1:3" x14ac:dyDescent="0.25">
      <c r="A3" t="s">
        <v>24</v>
      </c>
      <c r="B3" t="s">
        <v>25</v>
      </c>
    </row>
    <row r="4" spans="1:3" x14ac:dyDescent="0.25">
      <c r="A4" t="s">
        <v>206</v>
      </c>
      <c r="B4" s="60">
        <v>0</v>
      </c>
    </row>
    <row r="5" spans="1:3" x14ac:dyDescent="0.25">
      <c r="A5" t="s">
        <v>26</v>
      </c>
      <c r="B5">
        <v>47</v>
      </c>
      <c r="C5" t="s">
        <v>27</v>
      </c>
    </row>
    <row r="6" spans="1:3" x14ac:dyDescent="0.25">
      <c r="A6" t="s">
        <v>28</v>
      </c>
      <c r="B6">
        <v>39</v>
      </c>
      <c r="C6" t="s">
        <v>29</v>
      </c>
    </row>
    <row r="7" spans="1:3" x14ac:dyDescent="0.25">
      <c r="A7" t="s">
        <v>30</v>
      </c>
      <c r="B7">
        <v>47</v>
      </c>
      <c r="C7" t="s">
        <v>31</v>
      </c>
    </row>
    <row r="8" spans="1:3" x14ac:dyDescent="0.25">
      <c r="A8" t="s">
        <v>32</v>
      </c>
      <c r="B8">
        <v>47</v>
      </c>
      <c r="C8" t="s">
        <v>33</v>
      </c>
    </row>
    <row r="9" spans="1:3" x14ac:dyDescent="0.25">
      <c r="A9" t="s">
        <v>34</v>
      </c>
      <c r="B9">
        <v>47</v>
      </c>
      <c r="C9" t="s">
        <v>35</v>
      </c>
    </row>
    <row r="10" spans="1:3" x14ac:dyDescent="0.25">
      <c r="A10" t="s">
        <v>36</v>
      </c>
      <c r="B10">
        <v>47</v>
      </c>
      <c r="C10" t="s">
        <v>37</v>
      </c>
    </row>
    <row r="11" spans="1:3" x14ac:dyDescent="0.25">
      <c r="A11" t="s">
        <v>38</v>
      </c>
      <c r="B11">
        <v>39</v>
      </c>
      <c r="C11" t="s">
        <v>39</v>
      </c>
    </row>
    <row r="12" spans="1:3" x14ac:dyDescent="0.25">
      <c r="A12" t="s">
        <v>40</v>
      </c>
      <c r="B12">
        <v>47</v>
      </c>
      <c r="C12" t="s">
        <v>27</v>
      </c>
    </row>
    <row r="13" spans="1:3" x14ac:dyDescent="0.25">
      <c r="A13" t="s">
        <v>41</v>
      </c>
      <c r="B13">
        <v>33</v>
      </c>
      <c r="C13" t="s">
        <v>42</v>
      </c>
    </row>
    <row r="14" spans="1:3" x14ac:dyDescent="0.25">
      <c r="A14" t="s">
        <v>43</v>
      </c>
      <c r="B14">
        <v>47</v>
      </c>
      <c r="C14" t="s">
        <v>44</v>
      </c>
    </row>
    <row r="15" spans="1:3" x14ac:dyDescent="0.25">
      <c r="A15" t="s">
        <v>45</v>
      </c>
      <c r="B15">
        <v>47</v>
      </c>
      <c r="C15" t="s">
        <v>35</v>
      </c>
    </row>
    <row r="16" spans="1:3" x14ac:dyDescent="0.25">
      <c r="A16" t="s">
        <v>46</v>
      </c>
      <c r="B16">
        <v>39</v>
      </c>
      <c r="C16" t="s">
        <v>47</v>
      </c>
    </row>
    <row r="17" spans="1:3" x14ac:dyDescent="0.25">
      <c r="A17" t="s">
        <v>48</v>
      </c>
      <c r="B17">
        <v>39</v>
      </c>
      <c r="C17" t="s">
        <v>49</v>
      </c>
    </row>
    <row r="18" spans="1:3" x14ac:dyDescent="0.25">
      <c r="A18" t="s">
        <v>50</v>
      </c>
      <c r="B18">
        <v>50</v>
      </c>
      <c r="C18" t="s">
        <v>51</v>
      </c>
    </row>
    <row r="19" spans="1:3" x14ac:dyDescent="0.25">
      <c r="A19" t="s">
        <v>52</v>
      </c>
      <c r="B19">
        <v>50</v>
      </c>
      <c r="C19" t="s">
        <v>29</v>
      </c>
    </row>
    <row r="20" spans="1:3" x14ac:dyDescent="0.25">
      <c r="A20" t="s">
        <v>53</v>
      </c>
      <c r="B20">
        <v>47</v>
      </c>
      <c r="C20" t="s">
        <v>31</v>
      </c>
    </row>
    <row r="21" spans="1:3" x14ac:dyDescent="0.25">
      <c r="A21" t="s">
        <v>54</v>
      </c>
      <c r="B21">
        <v>47</v>
      </c>
      <c r="C21" t="s">
        <v>55</v>
      </c>
    </row>
    <row r="22" spans="1:3" x14ac:dyDescent="0.25">
      <c r="A22" t="s">
        <v>56</v>
      </c>
      <c r="B22">
        <v>47</v>
      </c>
      <c r="C22" t="s">
        <v>27</v>
      </c>
    </row>
    <row r="23" spans="1:3" x14ac:dyDescent="0.25">
      <c r="A23" t="s">
        <v>57</v>
      </c>
      <c r="B23">
        <v>39</v>
      </c>
      <c r="C23" t="s">
        <v>58</v>
      </c>
    </row>
    <row r="24" spans="1:3" x14ac:dyDescent="0.25">
      <c r="A24" t="s">
        <v>59</v>
      </c>
      <c r="B24">
        <v>47</v>
      </c>
      <c r="C24" t="s">
        <v>35</v>
      </c>
    </row>
    <row r="25" spans="1:3" x14ac:dyDescent="0.25">
      <c r="A25" t="s">
        <v>60</v>
      </c>
      <c r="B25">
        <v>50</v>
      </c>
      <c r="C25" t="s">
        <v>61</v>
      </c>
    </row>
    <row r="26" spans="1:3" x14ac:dyDescent="0.25">
      <c r="A26" t="s">
        <v>62</v>
      </c>
      <c r="B26">
        <v>39</v>
      </c>
      <c r="C26" t="s">
        <v>61</v>
      </c>
    </row>
    <row r="27" spans="1:3" x14ac:dyDescent="0.25">
      <c r="A27" t="s">
        <v>63</v>
      </c>
      <c r="B27">
        <v>50</v>
      </c>
      <c r="C27" t="s">
        <v>51</v>
      </c>
    </row>
    <row r="28" spans="1:3" x14ac:dyDescent="0.25">
      <c r="A28" t="s">
        <v>64</v>
      </c>
      <c r="B28">
        <v>55</v>
      </c>
      <c r="C28" t="s">
        <v>44</v>
      </c>
    </row>
    <row r="29" spans="1:3" x14ac:dyDescent="0.25">
      <c r="A29" t="s">
        <v>65</v>
      </c>
      <c r="B29">
        <v>47</v>
      </c>
      <c r="C29" t="s">
        <v>37</v>
      </c>
    </row>
    <row r="30" spans="1:3" x14ac:dyDescent="0.25">
      <c r="A30" t="s">
        <v>66</v>
      </c>
      <c r="B30">
        <v>47</v>
      </c>
      <c r="C30" t="s">
        <v>33</v>
      </c>
    </row>
    <row r="31" spans="1:3" x14ac:dyDescent="0.25">
      <c r="A31" t="s">
        <v>67</v>
      </c>
      <c r="B31">
        <v>47</v>
      </c>
      <c r="C31" t="s">
        <v>68</v>
      </c>
    </row>
    <row r="32" spans="1:3" x14ac:dyDescent="0.25">
      <c r="A32" t="s">
        <v>69</v>
      </c>
      <c r="B32">
        <v>47</v>
      </c>
      <c r="C32" t="s">
        <v>37</v>
      </c>
    </row>
    <row r="33" spans="1:3" x14ac:dyDescent="0.25">
      <c r="A33" t="s">
        <v>70</v>
      </c>
      <c r="B33">
        <v>47</v>
      </c>
      <c r="C33" t="s">
        <v>71</v>
      </c>
    </row>
    <row r="34" spans="1:3" x14ac:dyDescent="0.25">
      <c r="A34" t="s">
        <v>72</v>
      </c>
      <c r="B34">
        <v>39</v>
      </c>
      <c r="C34" t="s">
        <v>44</v>
      </c>
    </row>
    <row r="35" spans="1:3" x14ac:dyDescent="0.25">
      <c r="A35" t="s">
        <v>73</v>
      </c>
      <c r="B35">
        <v>47</v>
      </c>
      <c r="C35" t="s">
        <v>27</v>
      </c>
    </row>
    <row r="36" spans="1:3" x14ac:dyDescent="0.25">
      <c r="A36" t="s">
        <v>74</v>
      </c>
      <c r="B36">
        <v>50</v>
      </c>
      <c r="C36" t="s">
        <v>75</v>
      </c>
    </row>
    <row r="37" spans="1:3" x14ac:dyDescent="0.25">
      <c r="A37" t="s">
        <v>76</v>
      </c>
      <c r="B37">
        <v>44</v>
      </c>
      <c r="C37" t="s">
        <v>77</v>
      </c>
    </row>
    <row r="38" spans="1:3" x14ac:dyDescent="0.25">
      <c r="A38" t="s">
        <v>78</v>
      </c>
      <c r="B38">
        <v>47</v>
      </c>
      <c r="C38" t="s">
        <v>79</v>
      </c>
    </row>
    <row r="39" spans="1:3" x14ac:dyDescent="0.25">
      <c r="A39" t="s">
        <v>80</v>
      </c>
      <c r="B39">
        <v>47</v>
      </c>
      <c r="C39" t="s">
        <v>49</v>
      </c>
    </row>
    <row r="40" spans="1:3" x14ac:dyDescent="0.25">
      <c r="A40" t="s">
        <v>81</v>
      </c>
      <c r="B40">
        <v>47</v>
      </c>
      <c r="C40" t="s">
        <v>31</v>
      </c>
    </row>
    <row r="41" spans="1:3" x14ac:dyDescent="0.25">
      <c r="A41" t="s">
        <v>82</v>
      </c>
      <c r="B41">
        <v>47</v>
      </c>
      <c r="C41" t="s">
        <v>55</v>
      </c>
    </row>
    <row r="42" spans="1:3" x14ac:dyDescent="0.25">
      <c r="A42" t="s">
        <v>83</v>
      </c>
      <c r="B42">
        <v>47</v>
      </c>
      <c r="C42" t="s">
        <v>27</v>
      </c>
    </row>
    <row r="43" spans="1:3" x14ac:dyDescent="0.25">
      <c r="A43" t="s">
        <v>84</v>
      </c>
      <c r="B43">
        <v>47</v>
      </c>
      <c r="C43" t="s">
        <v>31</v>
      </c>
    </row>
    <row r="44" spans="1:3" x14ac:dyDescent="0.25">
      <c r="A44" t="s">
        <v>85</v>
      </c>
      <c r="B44">
        <v>47</v>
      </c>
      <c r="C44" t="s">
        <v>27</v>
      </c>
    </row>
    <row r="45" spans="1:3" x14ac:dyDescent="0.25">
      <c r="A45" t="s">
        <v>86</v>
      </c>
      <c r="B45">
        <v>44</v>
      </c>
      <c r="C45" t="s">
        <v>87</v>
      </c>
    </row>
    <row r="46" spans="1:3" x14ac:dyDescent="0.25">
      <c r="A46" t="s">
        <v>88</v>
      </c>
      <c r="B46">
        <v>50</v>
      </c>
      <c r="C46" t="s">
        <v>37</v>
      </c>
    </row>
    <row r="47" spans="1:3" x14ac:dyDescent="0.25">
      <c r="A47" t="s">
        <v>89</v>
      </c>
      <c r="B47">
        <v>39</v>
      </c>
      <c r="C47" t="s">
        <v>90</v>
      </c>
    </row>
    <row r="48" spans="1:3" x14ac:dyDescent="0.25">
      <c r="A48" t="s">
        <v>91</v>
      </c>
      <c r="B48">
        <v>39</v>
      </c>
      <c r="C48" t="s">
        <v>92</v>
      </c>
    </row>
    <row r="49" spans="1:3" x14ac:dyDescent="0.25">
      <c r="A49" t="s">
        <v>93</v>
      </c>
      <c r="B49">
        <v>47</v>
      </c>
      <c r="C49" t="s">
        <v>27</v>
      </c>
    </row>
    <row r="50" spans="1:3" x14ac:dyDescent="0.25">
      <c r="A50" t="s">
        <v>94</v>
      </c>
      <c r="B50">
        <v>47</v>
      </c>
      <c r="C50" t="s">
        <v>35</v>
      </c>
    </row>
    <row r="51" spans="1:3" x14ac:dyDescent="0.25">
      <c r="A51" t="s">
        <v>95</v>
      </c>
      <c r="B51">
        <v>39</v>
      </c>
      <c r="C51" t="s">
        <v>61</v>
      </c>
    </row>
    <row r="52" spans="1:3" x14ac:dyDescent="0.25">
      <c r="A52" t="s">
        <v>96</v>
      </c>
      <c r="B52">
        <v>39</v>
      </c>
      <c r="C52" t="s">
        <v>97</v>
      </c>
    </row>
    <row r="53" spans="1:3" x14ac:dyDescent="0.25">
      <c r="A53" t="s">
        <v>98</v>
      </c>
      <c r="B53">
        <v>39</v>
      </c>
      <c r="C53" t="s">
        <v>42</v>
      </c>
    </row>
    <row r="54" spans="1:3" x14ac:dyDescent="0.25">
      <c r="A54" t="s">
        <v>99</v>
      </c>
      <c r="B54">
        <v>47</v>
      </c>
      <c r="C54" t="s">
        <v>27</v>
      </c>
    </row>
    <row r="55" spans="1:3" x14ac:dyDescent="0.25">
      <c r="A55" t="s">
        <v>100</v>
      </c>
      <c r="B55">
        <v>44</v>
      </c>
      <c r="C55" t="s">
        <v>39</v>
      </c>
    </row>
    <row r="56" spans="1:3" x14ac:dyDescent="0.25">
      <c r="A56" t="s">
        <v>101</v>
      </c>
      <c r="B56">
        <v>33</v>
      </c>
      <c r="C56" t="s">
        <v>42</v>
      </c>
    </row>
    <row r="57" spans="1:3" x14ac:dyDescent="0.25">
      <c r="A57" t="s">
        <v>102</v>
      </c>
      <c r="B57">
        <v>44</v>
      </c>
      <c r="C57" t="s">
        <v>39</v>
      </c>
    </row>
    <row r="58" spans="1:3" x14ac:dyDescent="0.25">
      <c r="A58" t="s">
        <v>103</v>
      </c>
      <c r="B58">
        <v>47</v>
      </c>
      <c r="C58" t="s">
        <v>33</v>
      </c>
    </row>
    <row r="59" spans="1:3" x14ac:dyDescent="0.25">
      <c r="A59" t="s">
        <v>104</v>
      </c>
      <c r="B59">
        <v>39</v>
      </c>
      <c r="C59" t="s">
        <v>49</v>
      </c>
    </row>
    <row r="60" spans="1:3" x14ac:dyDescent="0.25">
      <c r="A60" t="s">
        <v>105</v>
      </c>
      <c r="B60">
        <v>50</v>
      </c>
      <c r="C60" t="s">
        <v>106</v>
      </c>
    </row>
    <row r="61" spans="1:3" x14ac:dyDescent="0.25">
      <c r="A61" t="s">
        <v>107</v>
      </c>
      <c r="B61">
        <v>39</v>
      </c>
      <c r="C61" t="s">
        <v>108</v>
      </c>
    </row>
    <row r="62" spans="1:3" x14ac:dyDescent="0.25">
      <c r="A62" t="s">
        <v>109</v>
      </c>
      <c r="B62">
        <v>47</v>
      </c>
      <c r="C62" t="s">
        <v>35</v>
      </c>
    </row>
    <row r="63" spans="1:3" x14ac:dyDescent="0.25">
      <c r="A63" t="s">
        <v>110</v>
      </c>
      <c r="B63">
        <v>47</v>
      </c>
      <c r="C63" t="s">
        <v>44</v>
      </c>
    </row>
    <row r="64" spans="1:3" x14ac:dyDescent="0.25">
      <c r="A64" t="s">
        <v>111</v>
      </c>
      <c r="B64">
        <v>50</v>
      </c>
      <c r="C64" t="s">
        <v>61</v>
      </c>
    </row>
    <row r="65" spans="1:3" x14ac:dyDescent="0.25">
      <c r="A65" t="s">
        <v>112</v>
      </c>
      <c r="B65">
        <v>44</v>
      </c>
      <c r="C65" t="s">
        <v>113</v>
      </c>
    </row>
    <row r="66" spans="1:3" x14ac:dyDescent="0.25">
      <c r="A66" t="s">
        <v>114</v>
      </c>
      <c r="B66">
        <v>39</v>
      </c>
      <c r="C66" t="s">
        <v>39</v>
      </c>
    </row>
    <row r="67" spans="1:3" x14ac:dyDescent="0.25">
      <c r="A67" t="s">
        <v>115</v>
      </c>
      <c r="B67">
        <v>39</v>
      </c>
      <c r="C67" t="s">
        <v>116</v>
      </c>
    </row>
    <row r="68" spans="1:3" x14ac:dyDescent="0.25">
      <c r="A68" t="s">
        <v>117</v>
      </c>
      <c r="B68">
        <v>39</v>
      </c>
      <c r="C68" t="s">
        <v>29</v>
      </c>
    </row>
    <row r="69" spans="1:3" x14ac:dyDescent="0.25">
      <c r="A69" t="s">
        <v>118</v>
      </c>
      <c r="B69">
        <v>39</v>
      </c>
      <c r="C69" t="s">
        <v>55</v>
      </c>
    </row>
    <row r="70" spans="1:3" x14ac:dyDescent="0.25">
      <c r="A70" t="s">
        <v>119</v>
      </c>
      <c r="B70">
        <v>39</v>
      </c>
      <c r="C70" t="s">
        <v>33</v>
      </c>
    </row>
    <row r="71" spans="1:3" x14ac:dyDescent="0.25">
      <c r="A71" t="s">
        <v>120</v>
      </c>
      <c r="B71">
        <v>39</v>
      </c>
      <c r="C71" t="s">
        <v>51</v>
      </c>
    </row>
    <row r="72" spans="1:3" x14ac:dyDescent="0.25">
      <c r="A72" t="s">
        <v>121</v>
      </c>
      <c r="B72">
        <v>39</v>
      </c>
      <c r="C72" t="s">
        <v>97</v>
      </c>
    </row>
    <row r="73" spans="1:3" x14ac:dyDescent="0.25">
      <c r="A73" t="s">
        <v>122</v>
      </c>
      <c r="B73">
        <v>39</v>
      </c>
      <c r="C73" t="s">
        <v>123</v>
      </c>
    </row>
    <row r="74" spans="1:3" x14ac:dyDescent="0.25">
      <c r="A74" t="s">
        <v>124</v>
      </c>
      <c r="B74">
        <v>44</v>
      </c>
      <c r="C74" t="s">
        <v>29</v>
      </c>
    </row>
    <row r="75" spans="1:3" x14ac:dyDescent="0.25">
      <c r="A75" t="s">
        <v>125</v>
      </c>
      <c r="B75">
        <v>47</v>
      </c>
      <c r="C75" t="s">
        <v>61</v>
      </c>
    </row>
    <row r="76" spans="1:3" x14ac:dyDescent="0.25">
      <c r="A76" t="s">
        <v>126</v>
      </c>
      <c r="B76">
        <v>39</v>
      </c>
      <c r="C76" t="s">
        <v>58</v>
      </c>
    </row>
    <row r="77" spans="1:3" x14ac:dyDescent="0.25">
      <c r="A77" t="s">
        <v>127</v>
      </c>
      <c r="B77">
        <v>47</v>
      </c>
      <c r="C77" t="s">
        <v>31</v>
      </c>
    </row>
    <row r="78" spans="1:3" x14ac:dyDescent="0.25">
      <c r="A78" t="s">
        <v>128</v>
      </c>
      <c r="B78">
        <v>44</v>
      </c>
      <c r="C78" t="s">
        <v>29</v>
      </c>
    </row>
    <row r="79" spans="1:3" x14ac:dyDescent="0.25">
      <c r="A79" t="s">
        <v>129</v>
      </c>
      <c r="B79">
        <v>47</v>
      </c>
      <c r="C79" t="s">
        <v>27</v>
      </c>
    </row>
    <row r="80" spans="1:3" x14ac:dyDescent="0.25">
      <c r="A80" t="s">
        <v>130</v>
      </c>
      <c r="B80">
        <v>50</v>
      </c>
      <c r="C80" t="s">
        <v>106</v>
      </c>
    </row>
    <row r="81" spans="1:3" x14ac:dyDescent="0.25">
      <c r="A81" t="s">
        <v>131</v>
      </c>
      <c r="B81">
        <v>50</v>
      </c>
      <c r="C81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9242-0106-4093-B1A8-D8273D93C58F}">
  <dimension ref="A1:B34"/>
  <sheetViews>
    <sheetView workbookViewId="0">
      <selection activeCell="L20" sqref="L20"/>
    </sheetView>
  </sheetViews>
  <sheetFormatPr defaultRowHeight="15" x14ac:dyDescent="0.25"/>
  <cols>
    <col min="1" max="1" width="19.28515625" customWidth="1"/>
    <col min="2" max="2" width="13.85546875" customWidth="1"/>
  </cols>
  <sheetData>
    <row r="1" spans="1:2" x14ac:dyDescent="0.25">
      <c r="A1" t="s">
        <v>208</v>
      </c>
      <c r="B1" t="str">
        <f>Sheet1!B3</f>
        <v xml:space="preserve">Surat </v>
      </c>
    </row>
    <row r="2" spans="1:2" x14ac:dyDescent="0.25">
      <c r="A2" t="s">
        <v>209</v>
      </c>
      <c r="B2">
        <f>VLOOKUP(A2,[1]Sheet3!$C$2:$CB$34,MATCH($B$1,[1]Sheet3!$C$1:$CB$1,0),0)</f>
        <v>0</v>
      </c>
    </row>
    <row r="3" spans="1:2" x14ac:dyDescent="0.25">
      <c r="A3" t="s">
        <v>106</v>
      </c>
      <c r="B3">
        <f>VLOOKUP(A3,[1]Sheet3!$C$2:$CB$34,MATCH($B$1,[1]Sheet3!$C$1:$CB$1,0),0)</f>
        <v>0</v>
      </c>
    </row>
    <row r="4" spans="1:2" x14ac:dyDescent="0.25">
      <c r="A4" t="s">
        <v>210</v>
      </c>
      <c r="B4">
        <f>VLOOKUP(A4,[1]Sheet3!$C$2:$CB$34,MATCH($B$1,[1]Sheet3!$C$1:$CB$1,0),0)</f>
        <v>0</v>
      </c>
    </row>
    <row r="5" spans="1:2" x14ac:dyDescent="0.25">
      <c r="A5" t="s">
        <v>75</v>
      </c>
      <c r="B5">
        <f>VLOOKUP(A5,[1]Sheet3!$C$2:$CB$34,MATCH($B$1,[1]Sheet3!$C$1:$CB$1,0),0)</f>
        <v>0</v>
      </c>
    </row>
    <row r="6" spans="1:2" x14ac:dyDescent="0.25">
      <c r="A6" t="s">
        <v>44</v>
      </c>
      <c r="B6">
        <f>VLOOKUP(A6,[1]Sheet3!$C$2:$CB$34,MATCH($B$1,[1]Sheet3!$C$1:$CB$1,0),0)</f>
        <v>0</v>
      </c>
    </row>
    <row r="7" spans="1:2" x14ac:dyDescent="0.25">
      <c r="A7" t="s">
        <v>47</v>
      </c>
      <c r="B7">
        <f>VLOOKUP(A7,[1]Sheet3!$C$2:$CB$34,MATCH($B$1,[1]Sheet3!$C$1:$CB$1,0),0)</f>
        <v>0</v>
      </c>
    </row>
    <row r="8" spans="1:2" x14ac:dyDescent="0.25">
      <c r="A8" t="s">
        <v>68</v>
      </c>
      <c r="B8">
        <f>VLOOKUP(A8,[1]Sheet3!$C$2:$CB$34,MATCH($B$1,[1]Sheet3!$C$1:$CB$1,0),0)</f>
        <v>0</v>
      </c>
    </row>
    <row r="9" spans="1:2" x14ac:dyDescent="0.25">
      <c r="A9" t="s">
        <v>108</v>
      </c>
      <c r="B9">
        <f>VLOOKUP(A9,[1]Sheet3!$C$2:$CB$34,MATCH($B$1,[1]Sheet3!$C$1:$CB$1,0),0)</f>
        <v>0</v>
      </c>
    </row>
    <row r="10" spans="1:2" x14ac:dyDescent="0.25">
      <c r="A10" t="s">
        <v>29</v>
      </c>
      <c r="B10">
        <f>VLOOKUP(A10,[1]Sheet3!$C$2:$CB$34,MATCH($B$1,[1]Sheet3!$C$1:$CB$1,0),0)</f>
        <v>44</v>
      </c>
    </row>
    <row r="11" spans="1:2" x14ac:dyDescent="0.25">
      <c r="A11" t="s">
        <v>211</v>
      </c>
      <c r="B11">
        <f>VLOOKUP(A11,[1]Sheet3!$C$2:$CB$34,MATCH($B$1,[1]Sheet3!$C$1:$CB$1,0),0)</f>
        <v>0</v>
      </c>
    </row>
    <row r="12" spans="1:2" x14ac:dyDescent="0.25">
      <c r="A12" t="s">
        <v>97</v>
      </c>
      <c r="B12">
        <f>VLOOKUP(A12,[1]Sheet3!$C$2:$CB$34,MATCH($B$1,[1]Sheet3!$C$1:$CB$1,0),0)</f>
        <v>0</v>
      </c>
    </row>
    <row r="13" spans="1:2" x14ac:dyDescent="0.25">
      <c r="A13" t="s">
        <v>123</v>
      </c>
      <c r="B13">
        <f>VLOOKUP(A13,[1]Sheet3!$C$2:$CB$34,MATCH($B$1,[1]Sheet3!$C$1:$CB$1,0),0)</f>
        <v>0</v>
      </c>
    </row>
    <row r="14" spans="1:2" x14ac:dyDescent="0.25">
      <c r="A14" t="s">
        <v>55</v>
      </c>
      <c r="B14">
        <f>VLOOKUP(A14,[1]Sheet3!$C$2:$CB$34,MATCH($B$1,[1]Sheet3!$C$1:$CB$1,0),0)</f>
        <v>0</v>
      </c>
    </row>
    <row r="15" spans="1:2" x14ac:dyDescent="0.25">
      <c r="A15" t="s">
        <v>42</v>
      </c>
      <c r="B15">
        <f>VLOOKUP(A15,[1]Sheet3!$C$2:$CB$34,MATCH($B$1,[1]Sheet3!$C$1:$CB$1,0),0)</f>
        <v>0</v>
      </c>
    </row>
    <row r="16" spans="1:2" x14ac:dyDescent="0.25">
      <c r="A16" t="s">
        <v>58</v>
      </c>
      <c r="B16">
        <f>VLOOKUP(A16,[1]Sheet3!$C$2:$CB$34,MATCH($B$1,[1]Sheet3!$C$1:$CB$1,0),0)</f>
        <v>0</v>
      </c>
    </row>
    <row r="17" spans="1:2" x14ac:dyDescent="0.25">
      <c r="A17" t="s">
        <v>212</v>
      </c>
      <c r="B17">
        <f>VLOOKUP(A17,[1]Sheet3!$C$2:$CB$34,MATCH($B$1,[1]Sheet3!$C$1:$CB$1,0),0)</f>
        <v>0</v>
      </c>
    </row>
    <row r="18" spans="1:2" x14ac:dyDescent="0.25">
      <c r="A18" t="s">
        <v>92</v>
      </c>
      <c r="B18">
        <f>VLOOKUP(A18,[1]Sheet3!$C$2:$CB$34,MATCH($B$1,[1]Sheet3!$C$1:$CB$1,0),0)</f>
        <v>0</v>
      </c>
    </row>
    <row r="19" spans="1:2" x14ac:dyDescent="0.25">
      <c r="A19" t="s">
        <v>49</v>
      </c>
      <c r="B19">
        <f>VLOOKUP(A19,[1]Sheet3!$C$2:$CB$34,MATCH($B$1,[1]Sheet3!$C$1:$CB$1,0),0)</f>
        <v>0</v>
      </c>
    </row>
    <row r="20" spans="1:2" x14ac:dyDescent="0.25">
      <c r="A20" t="s">
        <v>39</v>
      </c>
      <c r="B20">
        <f>VLOOKUP(A20,[1]Sheet3!$C$2:$CB$34,MATCH($B$1,[1]Sheet3!$C$1:$CB$1,0),0)</f>
        <v>0</v>
      </c>
    </row>
    <row r="21" spans="1:2" x14ac:dyDescent="0.25">
      <c r="A21" t="s">
        <v>79</v>
      </c>
      <c r="B21">
        <f>VLOOKUP(A21,[1]Sheet3!$C$2:$CB$34,MATCH($B$1,[1]Sheet3!$C$1:$CB$1,0),0)</f>
        <v>0</v>
      </c>
    </row>
    <row r="22" spans="1:2" x14ac:dyDescent="0.25">
      <c r="A22" t="s">
        <v>213</v>
      </c>
      <c r="B22">
        <f>VLOOKUP(A22,[1]Sheet3!$C$2:$CB$34,MATCH($B$1,[1]Sheet3!$C$1:$CB$1,0),0)</f>
        <v>0</v>
      </c>
    </row>
    <row r="23" spans="1:2" x14ac:dyDescent="0.25">
      <c r="A23" t="s">
        <v>214</v>
      </c>
      <c r="B23">
        <f>VLOOKUP(A23,[1]Sheet3!$C$2:$CB$34,MATCH($B$1,[1]Sheet3!$C$1:$CB$1,0),0)</f>
        <v>0</v>
      </c>
    </row>
    <row r="24" spans="1:2" x14ac:dyDescent="0.25">
      <c r="A24" t="s">
        <v>87</v>
      </c>
      <c r="B24">
        <f>VLOOKUP(A24,[1]Sheet3!$C$2:$CB$34,MATCH($B$1,[1]Sheet3!$C$1:$CB$1,0),0)</f>
        <v>0</v>
      </c>
    </row>
    <row r="25" spans="1:2" x14ac:dyDescent="0.25">
      <c r="A25" t="s">
        <v>51</v>
      </c>
      <c r="B25">
        <f>VLOOKUP(A25,[1]Sheet3!$C$2:$CB$34,MATCH($B$1,[1]Sheet3!$C$1:$CB$1,0),0)</f>
        <v>0</v>
      </c>
    </row>
    <row r="26" spans="1:2" x14ac:dyDescent="0.25">
      <c r="A26" t="s">
        <v>35</v>
      </c>
      <c r="B26">
        <f>VLOOKUP(A26,[1]Sheet3!$C$2:$CB$34,MATCH($B$1,[1]Sheet3!$C$1:$CB$1,0),0)</f>
        <v>0</v>
      </c>
    </row>
    <row r="27" spans="1:2" x14ac:dyDescent="0.25">
      <c r="A27" t="s">
        <v>215</v>
      </c>
      <c r="B27">
        <f>VLOOKUP(A27,[1]Sheet3!$C$2:$CB$34,MATCH($B$1,[1]Sheet3!$C$1:$CB$1,0),0)</f>
        <v>0</v>
      </c>
    </row>
    <row r="28" spans="1:2" x14ac:dyDescent="0.25">
      <c r="A28" t="s">
        <v>71</v>
      </c>
      <c r="B28">
        <f>VLOOKUP(A28,[1]Sheet3!$C$2:$CB$34,MATCH($B$1,[1]Sheet3!$C$1:$CB$1,0),0)</f>
        <v>0</v>
      </c>
    </row>
    <row r="29" spans="1:2" x14ac:dyDescent="0.25">
      <c r="A29" t="s">
        <v>216</v>
      </c>
      <c r="B29">
        <f>VLOOKUP(A29,[1]Sheet3!$C$2:$CB$34,MATCH($B$1,[1]Sheet3!$C$1:$CB$1,0),0)</f>
        <v>0</v>
      </c>
    </row>
    <row r="30" spans="1:2" x14ac:dyDescent="0.25">
      <c r="A30" t="s">
        <v>77</v>
      </c>
      <c r="B30">
        <f>VLOOKUP(A30,[1]Sheet3!$C$2:$CB$34,MATCH($B$1,[1]Sheet3!$C$1:$CB$1,0),0)</f>
        <v>0</v>
      </c>
    </row>
    <row r="31" spans="1:2" x14ac:dyDescent="0.25">
      <c r="A31" t="s">
        <v>217</v>
      </c>
      <c r="B31">
        <f>VLOOKUP(A31,[1]Sheet3!$C$2:$CB$34,MATCH($B$1,[1]Sheet3!$C$1:$CB$1,0),0)</f>
        <v>0</v>
      </c>
    </row>
    <row r="32" spans="1:2" x14ac:dyDescent="0.25">
      <c r="A32" t="s">
        <v>27</v>
      </c>
      <c r="B32">
        <f>VLOOKUP(A32,[1]Sheet3!$C$2:$CB$34,MATCH($B$1,[1]Sheet3!$C$1:$CB$1,0),0)</f>
        <v>0</v>
      </c>
    </row>
    <row r="33" spans="1:2" x14ac:dyDescent="0.25">
      <c r="A33" t="s">
        <v>33</v>
      </c>
      <c r="B33">
        <f>VLOOKUP(A33,[1]Sheet3!$C$2:$CB$34,MATCH($B$1,[1]Sheet3!$C$1:$CB$1,0),0)</f>
        <v>0</v>
      </c>
    </row>
    <row r="34" spans="1:2" x14ac:dyDescent="0.25">
      <c r="A34" t="s">
        <v>37</v>
      </c>
      <c r="B34">
        <f>VLOOKUP(A34,[1]Sheet3!$C$2:$CB$34,MATCH($B$1,[1]Sheet3!$C$1:$CB$1,0),0)</f>
        <v>0</v>
      </c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9903E9-EA6C-437C-899C-B69633792691}">
          <x14:formula1>
            <xm:f>Sheet5!$D$1:$CB$1</xm:f>
          </x14:formula1>
          <xm:sqref>B1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1B227-7E22-449D-9230-89CECC88AD8B}">
  <dimension ref="A1:CB77"/>
  <sheetViews>
    <sheetView workbookViewId="0"/>
  </sheetViews>
  <sheetFormatPr defaultRowHeight="15" x14ac:dyDescent="0.25"/>
  <cols>
    <col min="1" max="1" width="13.7109375" customWidth="1"/>
    <col min="3" max="3" width="18.85546875" customWidth="1"/>
    <col min="4" max="4" width="6.140625" customWidth="1"/>
    <col min="5" max="5" width="10.5703125" customWidth="1"/>
    <col min="6" max="6" width="6.28515625" customWidth="1"/>
    <col min="9" max="9" width="7.5703125" customWidth="1"/>
    <col min="10" max="10" width="10.28515625" customWidth="1"/>
    <col min="15" max="15" width="6.85546875" customWidth="1"/>
    <col min="16" max="16" width="6.7109375" customWidth="1"/>
    <col min="17" max="17" width="12.7109375" customWidth="1"/>
    <col min="18" max="18" width="6" customWidth="1"/>
    <col min="19" max="19" width="7.7109375" customWidth="1"/>
    <col min="20" max="20" width="7.140625" customWidth="1"/>
    <col min="22" max="22" width="7" customWidth="1"/>
    <col min="23" max="23" width="9.7109375" customWidth="1"/>
    <col min="24" max="24" width="8.140625" customWidth="1"/>
    <col min="25" max="25" width="10.42578125" customWidth="1"/>
    <col min="26" max="26" width="7.28515625" customWidth="1"/>
    <col min="27" max="27" width="9.28515625" customWidth="1"/>
    <col min="29" max="29" width="9.42578125" customWidth="1"/>
    <col min="30" max="30" width="6.85546875" customWidth="1"/>
    <col min="31" max="31" width="8.7109375" customWidth="1"/>
    <col min="33" max="33" width="6.7109375" customWidth="1"/>
    <col min="34" max="34" width="9.28515625" customWidth="1"/>
    <col min="36" max="36" width="9.42578125" customWidth="1"/>
    <col min="37" max="37" width="7.28515625" customWidth="1"/>
    <col min="38" max="38" width="7.85546875" customWidth="1"/>
    <col min="39" max="39" width="6.42578125" customWidth="1"/>
    <col min="40" max="40" width="10.5703125" customWidth="1"/>
    <col min="41" max="41" width="6.28515625" customWidth="1"/>
    <col min="42" max="42" width="7.7109375" customWidth="1"/>
    <col min="43" max="43" width="6.85546875" customWidth="1"/>
    <col min="44" max="44" width="7.5703125" customWidth="1"/>
    <col min="45" max="45" width="7.7109375" customWidth="1"/>
    <col min="46" max="46" width="7.5703125" customWidth="1"/>
    <col min="47" max="47" width="11.7109375" customWidth="1"/>
    <col min="50" max="50" width="8.140625" customWidth="1"/>
    <col min="51" max="51" width="6.7109375" customWidth="1"/>
    <col min="52" max="52" width="9.7109375" customWidth="1"/>
    <col min="53" max="53" width="10.42578125" customWidth="1"/>
    <col min="54" max="54" width="7.7109375" customWidth="1"/>
    <col min="55" max="55" width="7.28515625" customWidth="1"/>
    <col min="56" max="56" width="7" customWidth="1"/>
    <col min="57" max="57" width="7.7109375" customWidth="1"/>
    <col min="58" max="58" width="6.5703125" customWidth="1"/>
    <col min="59" max="59" width="7" customWidth="1"/>
    <col min="60" max="60" width="6.5703125" customWidth="1"/>
    <col min="61" max="61" width="7.28515625" customWidth="1"/>
    <col min="62" max="62" width="7.140625" customWidth="1"/>
    <col min="63" max="63" width="11.28515625" customWidth="1"/>
    <col min="65" max="65" width="6.28515625" customWidth="1"/>
    <col min="66" max="67" width="7" customWidth="1"/>
    <col min="68" max="68" width="7.5703125" customWidth="1"/>
    <col min="69" max="69" width="8.28515625" customWidth="1"/>
    <col min="71" max="71" width="6.85546875" customWidth="1"/>
    <col min="72" max="72" width="7.7109375" customWidth="1"/>
    <col min="73" max="73" width="6.42578125" customWidth="1"/>
    <col min="74" max="74" width="11.42578125" customWidth="1"/>
    <col min="75" max="75" width="10" customWidth="1"/>
    <col min="76" max="76" width="8" customWidth="1"/>
    <col min="79" max="79" width="10.140625" customWidth="1"/>
    <col min="80" max="80" width="13.140625" customWidth="1"/>
  </cols>
  <sheetData>
    <row r="1" spans="1:80" x14ac:dyDescent="0.25">
      <c r="A1" t="s">
        <v>26</v>
      </c>
      <c r="C1" t="s">
        <v>208</v>
      </c>
      <c r="D1" t="str">
        <f t="array" ref="D1:CB1">TRANSPOSE(A1:A77)</f>
        <v xml:space="preserve">Agra </v>
      </c>
      <c r="E1" t="str">
        <v xml:space="preserve">Ahmedabad </v>
      </c>
      <c r="F1" t="str">
        <v xml:space="preserve">Ajmer </v>
      </c>
      <c r="G1" t="str">
        <v xml:space="preserve">Almora </v>
      </c>
      <c r="H1" t="str">
        <v xml:space="preserve">Amritsar </v>
      </c>
      <c r="I1" t="str">
        <v xml:space="preserve">Asansol </v>
      </c>
      <c r="J1" t="str">
        <v xml:space="preserve">Aurangabad </v>
      </c>
      <c r="K1" t="str">
        <v xml:space="preserve">Bahraich </v>
      </c>
      <c r="L1" t="str">
        <v xml:space="preserve">Bangalore </v>
      </c>
      <c r="M1" t="str">
        <v xml:space="preserve">Barauni </v>
      </c>
      <c r="N1" t="str">
        <v xml:space="preserve">Bhatinda </v>
      </c>
      <c r="O1" t="str">
        <v xml:space="preserve">Bhilai </v>
      </c>
      <c r="P1" t="str">
        <v xml:space="preserve">Bhopal </v>
      </c>
      <c r="Q1" t="str">
        <v xml:space="preserve">Bhubaneshwar </v>
      </c>
      <c r="R1" t="str">
        <v xml:space="preserve">Bhuj </v>
      </c>
      <c r="S1" t="str">
        <v xml:space="preserve">Bikaner </v>
      </c>
      <c r="T1" t="str">
        <v xml:space="preserve">Bokaro </v>
      </c>
      <c r="U1" t="str">
        <v xml:space="preserve">Bareilly </v>
      </c>
      <c r="V1" t="str">
        <v xml:space="preserve">Calicut </v>
      </c>
      <c r="W1" t="str">
        <v xml:space="preserve">Chandigarh </v>
      </c>
      <c r="X1" t="str">
        <v xml:space="preserve">Chennai </v>
      </c>
      <c r="Y1" t="str">
        <v xml:space="preserve">Coimbatore </v>
      </c>
      <c r="Z1" t="str">
        <v xml:space="preserve">Cuttack </v>
      </c>
      <c r="AA1" t="str">
        <v xml:space="preserve">Darbhanga </v>
      </c>
      <c r="AB1" t="str">
        <v xml:space="preserve">Darjeeling </v>
      </c>
      <c r="AC1" t="str">
        <v xml:space="preserve">Dehra Dun </v>
      </c>
      <c r="AD1" t="str">
        <v xml:space="preserve">Delhi </v>
      </c>
      <c r="AE1" t="str">
        <v xml:space="preserve">Durgapur </v>
      </c>
      <c r="AF1" t="str">
        <v xml:space="preserve">Gangtok </v>
      </c>
      <c r="AG1" t="str">
        <v xml:space="preserve">Gaya </v>
      </c>
      <c r="AH1" t="str">
        <v xml:space="preserve">Gorakhpur </v>
      </c>
      <c r="AI1" t="str">
        <v xml:space="preserve">Guwahati </v>
      </c>
      <c r="AJ1" t="str">
        <v xml:space="preserve">Hyderabad </v>
      </c>
      <c r="AK1" t="str">
        <v xml:space="preserve">Imphal </v>
      </c>
      <c r="AL1" t="str">
        <v xml:space="preserve">Jabalpur </v>
      </c>
      <c r="AM1" t="str">
        <v xml:space="preserve">Jaipur </v>
      </c>
      <c r="AN1" t="str">
        <v xml:space="preserve">Jamshedpur </v>
      </c>
      <c r="AO1" t="str">
        <v xml:space="preserve">Jhansi </v>
      </c>
      <c r="AP1" t="str">
        <v xml:space="preserve">Jodhpur </v>
      </c>
      <c r="AQ1" t="str">
        <v xml:space="preserve">Kanpur </v>
      </c>
      <c r="AR1" t="str">
        <v xml:space="preserve">Kohima </v>
      </c>
      <c r="AS1" t="str">
        <v xml:space="preserve">Kolkata </v>
      </c>
      <c r="AT1" t="str">
        <v xml:space="preserve">Kurnool </v>
      </c>
      <c r="AU1" t="str">
        <v xml:space="preserve">Lakshadweep </v>
      </c>
      <c r="AV1" t="str">
        <v xml:space="preserve">Lucknow </v>
      </c>
      <c r="AW1" t="str">
        <v xml:space="preserve">Ludhiana </v>
      </c>
      <c r="AX1" t="str">
        <v xml:space="preserve">Madurai </v>
      </c>
      <c r="AY1" t="str">
        <v xml:space="preserve">Mandi </v>
      </c>
      <c r="AZ1" t="str">
        <v xml:space="preserve">Mangalore </v>
      </c>
      <c r="BA1" t="str">
        <v xml:space="preserve">Moradabad </v>
      </c>
      <c r="BB1" t="str">
        <v xml:space="preserve">Mumbai </v>
      </c>
      <c r="BC1" t="str">
        <v xml:space="preserve">Mysore </v>
      </c>
      <c r="BD1" t="str">
        <v xml:space="preserve">Nagpur </v>
      </c>
      <c r="BE1" t="str">
        <v xml:space="preserve">Nainital </v>
      </c>
      <c r="BF1" t="str">
        <v xml:space="preserve">Nasik </v>
      </c>
      <c r="BG1" t="str">
        <v xml:space="preserve">Nellore </v>
      </c>
      <c r="BH1" t="str">
        <v xml:space="preserve">Panjim </v>
      </c>
      <c r="BI1" t="str">
        <v xml:space="preserve">Patiala </v>
      </c>
      <c r="BJ1" t="str">
        <v xml:space="preserve">Patna </v>
      </c>
      <c r="BK1" t="str">
        <v xml:space="preserve">Pondicherry </v>
      </c>
      <c r="BL1" t="str">
        <v xml:space="preserve">Port Blair </v>
      </c>
      <c r="BM1" t="str">
        <v xml:space="preserve">Pune </v>
      </c>
      <c r="BN1" t="str">
        <v xml:space="preserve">Raipur </v>
      </c>
      <c r="BO1" t="str">
        <v xml:space="preserve">Rajkot </v>
      </c>
      <c r="BP1" t="str">
        <v xml:space="preserve">Ranchi </v>
      </c>
      <c r="BQ1" t="str">
        <v xml:space="preserve">Roorkee </v>
      </c>
      <c r="BR1" t="str">
        <v xml:space="preserve">Rourkela </v>
      </c>
      <c r="BS1" t="str">
        <v xml:space="preserve">Shimla </v>
      </c>
      <c r="BT1" t="str">
        <v xml:space="preserve">Srinagar </v>
      </c>
      <c r="BU1" t="str">
        <v xml:space="preserve">Surat </v>
      </c>
      <c r="BV1" t="str">
        <v xml:space="preserve">Tiruchirapalli </v>
      </c>
      <c r="BW1" t="str">
        <v xml:space="preserve">Trivandrum </v>
      </c>
      <c r="BX1" t="str">
        <v xml:space="preserve">Udaipur </v>
      </c>
      <c r="BY1" t="str">
        <v xml:space="preserve">Vadodara </v>
      </c>
      <c r="BZ1" t="str">
        <v xml:space="preserve">Varanasi </v>
      </c>
      <c r="CA1" t="str">
        <v xml:space="preserve">Vijaywada </v>
      </c>
      <c r="CB1" t="str">
        <v xml:space="preserve">Visakhapatnam </v>
      </c>
    </row>
    <row r="2" spans="1:80" x14ac:dyDescent="0.25">
      <c r="A2" t="s">
        <v>28</v>
      </c>
      <c r="C2" t="s">
        <v>209</v>
      </c>
      <c r="BL2">
        <v>44</v>
      </c>
    </row>
    <row r="3" spans="1:80" x14ac:dyDescent="0.25">
      <c r="A3" t="s">
        <v>30</v>
      </c>
      <c r="C3" t="s">
        <v>106</v>
      </c>
      <c r="AT3">
        <v>39</v>
      </c>
      <c r="BG3">
        <v>50</v>
      </c>
      <c r="CA3">
        <v>50</v>
      </c>
      <c r="CB3">
        <v>50</v>
      </c>
    </row>
    <row r="4" spans="1:80" x14ac:dyDescent="0.25">
      <c r="A4" t="s">
        <v>32</v>
      </c>
      <c r="C4" t="s">
        <v>210</v>
      </c>
    </row>
    <row r="5" spans="1:80" x14ac:dyDescent="0.25">
      <c r="A5" t="s">
        <v>34</v>
      </c>
      <c r="C5" t="s">
        <v>75</v>
      </c>
      <c r="AI5">
        <v>50</v>
      </c>
    </row>
    <row r="6" spans="1:80" x14ac:dyDescent="0.25">
      <c r="A6" t="s">
        <v>36</v>
      </c>
      <c r="C6" t="s">
        <v>44</v>
      </c>
      <c r="M6">
        <v>47</v>
      </c>
      <c r="AA6">
        <v>55</v>
      </c>
      <c r="AG6">
        <v>39</v>
      </c>
      <c r="BJ6">
        <v>47</v>
      </c>
    </row>
    <row r="7" spans="1:80" x14ac:dyDescent="0.25">
      <c r="A7" t="s">
        <v>38</v>
      </c>
      <c r="C7" t="s">
        <v>47</v>
      </c>
      <c r="O7">
        <v>39</v>
      </c>
      <c r="BH7">
        <v>39</v>
      </c>
      <c r="BN7">
        <v>39</v>
      </c>
    </row>
    <row r="8" spans="1:80" x14ac:dyDescent="0.25">
      <c r="A8" t="s">
        <v>40</v>
      </c>
      <c r="C8" t="s">
        <v>68</v>
      </c>
      <c r="AD8">
        <v>47</v>
      </c>
      <c r="AF8">
        <v>47</v>
      </c>
    </row>
    <row r="9" spans="1:80" x14ac:dyDescent="0.25">
      <c r="A9" t="s">
        <v>41</v>
      </c>
      <c r="C9" t="s">
        <v>108</v>
      </c>
    </row>
    <row r="10" spans="1:80" x14ac:dyDescent="0.25">
      <c r="A10" t="s">
        <v>43</v>
      </c>
      <c r="C10" t="s">
        <v>29</v>
      </c>
      <c r="E10">
        <v>39</v>
      </c>
      <c r="R10">
        <v>50</v>
      </c>
      <c r="BO10">
        <v>39</v>
      </c>
      <c r="BU10">
        <v>44</v>
      </c>
      <c r="BY10">
        <v>44</v>
      </c>
    </row>
    <row r="11" spans="1:80" x14ac:dyDescent="0.25">
      <c r="A11" t="s">
        <v>45</v>
      </c>
      <c r="C11" t="s">
        <v>211</v>
      </c>
    </row>
    <row r="12" spans="1:80" x14ac:dyDescent="0.25">
      <c r="A12" t="s">
        <v>46</v>
      </c>
      <c r="C12" t="s">
        <v>97</v>
      </c>
      <c r="AY12">
        <v>39</v>
      </c>
      <c r="BS12">
        <v>39</v>
      </c>
    </row>
    <row r="13" spans="1:80" x14ac:dyDescent="0.25">
      <c r="A13" t="s">
        <v>48</v>
      </c>
      <c r="C13" t="s">
        <v>123</v>
      </c>
      <c r="BT13">
        <v>39</v>
      </c>
    </row>
    <row r="14" spans="1:80" x14ac:dyDescent="0.25">
      <c r="A14" t="s">
        <v>50</v>
      </c>
      <c r="C14" t="s">
        <v>55</v>
      </c>
      <c r="T14">
        <v>47</v>
      </c>
      <c r="AN14">
        <v>47</v>
      </c>
      <c r="BP14">
        <v>39</v>
      </c>
    </row>
    <row r="15" spans="1:80" x14ac:dyDescent="0.25">
      <c r="A15" t="s">
        <v>52</v>
      </c>
      <c r="C15" t="s">
        <v>42</v>
      </c>
      <c r="L15">
        <v>33</v>
      </c>
      <c r="AZ15">
        <v>33</v>
      </c>
      <c r="BC15">
        <v>33</v>
      </c>
    </row>
    <row r="16" spans="1:80" x14ac:dyDescent="0.25">
      <c r="A16" t="s">
        <v>53</v>
      </c>
      <c r="C16" t="s">
        <v>58</v>
      </c>
      <c r="V16">
        <v>39</v>
      </c>
      <c r="BW16">
        <v>39</v>
      </c>
    </row>
    <row r="17" spans="1:78" x14ac:dyDescent="0.25">
      <c r="A17" t="s">
        <v>54</v>
      </c>
      <c r="C17" t="s">
        <v>212</v>
      </c>
    </row>
    <row r="18" spans="1:78" x14ac:dyDescent="0.25">
      <c r="A18" t="s">
        <v>56</v>
      </c>
      <c r="C18" t="s">
        <v>92</v>
      </c>
      <c r="AU18">
        <v>39</v>
      </c>
      <c r="AW18">
        <v>47</v>
      </c>
    </row>
    <row r="19" spans="1:78" x14ac:dyDescent="0.25">
      <c r="A19" t="s">
        <v>57</v>
      </c>
      <c r="C19" t="s">
        <v>49</v>
      </c>
      <c r="P19">
        <v>39</v>
      </c>
      <c r="AL19">
        <v>47</v>
      </c>
      <c r="BF19">
        <v>39</v>
      </c>
    </row>
    <row r="20" spans="1:78" x14ac:dyDescent="0.25">
      <c r="A20" t="s">
        <v>59</v>
      </c>
      <c r="C20" t="s">
        <v>39</v>
      </c>
      <c r="J20">
        <v>39</v>
      </c>
      <c r="BB20">
        <v>44</v>
      </c>
      <c r="BD20">
        <v>44</v>
      </c>
      <c r="BM20">
        <v>39</v>
      </c>
    </row>
    <row r="21" spans="1:78" x14ac:dyDescent="0.25">
      <c r="A21" t="s">
        <v>60</v>
      </c>
      <c r="C21" t="s">
        <v>79</v>
      </c>
      <c r="AK21">
        <v>47</v>
      </c>
    </row>
    <row r="22" spans="1:78" x14ac:dyDescent="0.25">
      <c r="A22" t="s">
        <v>62</v>
      </c>
      <c r="C22" t="s">
        <v>213</v>
      </c>
    </row>
    <row r="23" spans="1:78" x14ac:dyDescent="0.25">
      <c r="A23" t="s">
        <v>63</v>
      </c>
      <c r="C23" t="s">
        <v>214</v>
      </c>
    </row>
    <row r="24" spans="1:78" x14ac:dyDescent="0.25">
      <c r="A24" t="s">
        <v>64</v>
      </c>
      <c r="C24" t="s">
        <v>87</v>
      </c>
      <c r="AR24">
        <v>44</v>
      </c>
    </row>
    <row r="25" spans="1:78" x14ac:dyDescent="0.25">
      <c r="A25" t="s">
        <v>65</v>
      </c>
      <c r="C25" t="s">
        <v>51</v>
      </c>
      <c r="Q25">
        <v>50</v>
      </c>
      <c r="Z25">
        <v>50</v>
      </c>
      <c r="BR25">
        <v>39</v>
      </c>
    </row>
    <row r="26" spans="1:78" x14ac:dyDescent="0.25">
      <c r="A26" t="s">
        <v>66</v>
      </c>
      <c r="C26" t="s">
        <v>35</v>
      </c>
      <c r="D26" s="69"/>
      <c r="H26">
        <v>47</v>
      </c>
      <c r="N26">
        <v>47</v>
      </c>
      <c r="W26">
        <v>47</v>
      </c>
      <c r="BI26">
        <v>47</v>
      </c>
    </row>
    <row r="27" spans="1:78" x14ac:dyDescent="0.25">
      <c r="A27" t="s">
        <v>67</v>
      </c>
      <c r="C27" t="s">
        <v>215</v>
      </c>
      <c r="F27">
        <v>47</v>
      </c>
      <c r="S27">
        <v>47</v>
      </c>
      <c r="AM27">
        <v>47</v>
      </c>
      <c r="AP27">
        <v>47</v>
      </c>
      <c r="BX27">
        <v>47</v>
      </c>
    </row>
    <row r="28" spans="1:78" x14ac:dyDescent="0.25">
      <c r="A28" t="s">
        <v>69</v>
      </c>
      <c r="C28" t="s">
        <v>71</v>
      </c>
    </row>
    <row r="29" spans="1:78" x14ac:dyDescent="0.25">
      <c r="A29" t="s">
        <v>70</v>
      </c>
      <c r="C29" t="s">
        <v>216</v>
      </c>
      <c r="X29">
        <v>50</v>
      </c>
      <c r="Y29">
        <v>39</v>
      </c>
      <c r="AX29">
        <v>39</v>
      </c>
      <c r="BK29">
        <v>50</v>
      </c>
      <c r="BV29">
        <v>47</v>
      </c>
    </row>
    <row r="30" spans="1:78" x14ac:dyDescent="0.25">
      <c r="A30" t="s">
        <v>72</v>
      </c>
      <c r="C30" t="s">
        <v>77</v>
      </c>
      <c r="AJ30">
        <v>44</v>
      </c>
    </row>
    <row r="31" spans="1:78" x14ac:dyDescent="0.25">
      <c r="A31" t="s">
        <v>73</v>
      </c>
      <c r="C31" t="s">
        <v>217</v>
      </c>
    </row>
    <row r="32" spans="1:78" x14ac:dyDescent="0.25">
      <c r="A32" t="s">
        <v>74</v>
      </c>
      <c r="C32" t="s">
        <v>27</v>
      </c>
      <c r="D32">
        <v>47</v>
      </c>
      <c r="K32">
        <v>47</v>
      </c>
      <c r="U32">
        <v>47</v>
      </c>
      <c r="AH32">
        <v>47</v>
      </c>
      <c r="AO32">
        <v>47</v>
      </c>
      <c r="AQ32">
        <v>47</v>
      </c>
      <c r="AV32">
        <v>47</v>
      </c>
      <c r="BA32">
        <v>47</v>
      </c>
      <c r="BZ32">
        <v>47</v>
      </c>
    </row>
    <row r="33" spans="1:69" x14ac:dyDescent="0.25">
      <c r="A33" t="s">
        <v>76</v>
      </c>
      <c r="C33" t="s">
        <v>33</v>
      </c>
      <c r="G33">
        <v>47</v>
      </c>
      <c r="AC33">
        <v>47</v>
      </c>
      <c r="BE33">
        <v>47</v>
      </c>
      <c r="BQ33">
        <v>39</v>
      </c>
    </row>
    <row r="34" spans="1:69" x14ac:dyDescent="0.25">
      <c r="A34" t="s">
        <v>78</v>
      </c>
      <c r="C34" t="s">
        <v>37</v>
      </c>
      <c r="I34">
        <v>47</v>
      </c>
      <c r="AB34">
        <v>47</v>
      </c>
      <c r="AE34">
        <v>47</v>
      </c>
      <c r="AS34">
        <v>50</v>
      </c>
    </row>
    <row r="35" spans="1:69" x14ac:dyDescent="0.25">
      <c r="A35" t="s">
        <v>80</v>
      </c>
    </row>
    <row r="36" spans="1:69" x14ac:dyDescent="0.25">
      <c r="A36" t="s">
        <v>81</v>
      </c>
    </row>
    <row r="37" spans="1:69" x14ac:dyDescent="0.25">
      <c r="A37" t="s">
        <v>82</v>
      </c>
    </row>
    <row r="38" spans="1:69" x14ac:dyDescent="0.25">
      <c r="A38" t="s">
        <v>83</v>
      </c>
    </row>
    <row r="39" spans="1:69" x14ac:dyDescent="0.25">
      <c r="A39" t="s">
        <v>84</v>
      </c>
    </row>
    <row r="40" spans="1:69" x14ac:dyDescent="0.25">
      <c r="A40" t="s">
        <v>85</v>
      </c>
    </row>
    <row r="41" spans="1:69" x14ac:dyDescent="0.25">
      <c r="A41" t="s">
        <v>86</v>
      </c>
    </row>
    <row r="42" spans="1:69" x14ac:dyDescent="0.25">
      <c r="A42" t="s">
        <v>88</v>
      </c>
    </row>
    <row r="43" spans="1:69" x14ac:dyDescent="0.25">
      <c r="A43" t="s">
        <v>89</v>
      </c>
    </row>
    <row r="44" spans="1:69" x14ac:dyDescent="0.25">
      <c r="A44" t="s">
        <v>91</v>
      </c>
    </row>
    <row r="45" spans="1:69" x14ac:dyDescent="0.25">
      <c r="A45" t="s">
        <v>93</v>
      </c>
    </row>
    <row r="46" spans="1:69" x14ac:dyDescent="0.25">
      <c r="A46" t="s">
        <v>94</v>
      </c>
    </row>
    <row r="47" spans="1:69" x14ac:dyDescent="0.25">
      <c r="A47" t="s">
        <v>95</v>
      </c>
    </row>
    <row r="48" spans="1:69" x14ac:dyDescent="0.25">
      <c r="A48" t="s">
        <v>96</v>
      </c>
    </row>
    <row r="49" spans="1:1" x14ac:dyDescent="0.25">
      <c r="A49" t="s">
        <v>98</v>
      </c>
    </row>
    <row r="50" spans="1:1" x14ac:dyDescent="0.25">
      <c r="A50" t="s">
        <v>99</v>
      </c>
    </row>
    <row r="51" spans="1:1" x14ac:dyDescent="0.25">
      <c r="A51" t="s">
        <v>100</v>
      </c>
    </row>
    <row r="52" spans="1:1" x14ac:dyDescent="0.25">
      <c r="A52" t="s">
        <v>101</v>
      </c>
    </row>
    <row r="53" spans="1:1" x14ac:dyDescent="0.25">
      <c r="A53" t="s">
        <v>102</v>
      </c>
    </row>
    <row r="54" spans="1:1" x14ac:dyDescent="0.25">
      <c r="A54" t="s">
        <v>103</v>
      </c>
    </row>
    <row r="55" spans="1:1" x14ac:dyDescent="0.25">
      <c r="A55" t="s">
        <v>104</v>
      </c>
    </row>
    <row r="56" spans="1:1" x14ac:dyDescent="0.25">
      <c r="A56" t="s">
        <v>105</v>
      </c>
    </row>
    <row r="57" spans="1:1" x14ac:dyDescent="0.25">
      <c r="A57" t="s">
        <v>107</v>
      </c>
    </row>
    <row r="58" spans="1:1" x14ac:dyDescent="0.25">
      <c r="A58" t="s">
        <v>109</v>
      </c>
    </row>
    <row r="59" spans="1:1" x14ac:dyDescent="0.25">
      <c r="A59" t="s">
        <v>110</v>
      </c>
    </row>
    <row r="60" spans="1:1" x14ac:dyDescent="0.25">
      <c r="A60" t="s">
        <v>111</v>
      </c>
    </row>
    <row r="61" spans="1:1" x14ac:dyDescent="0.25">
      <c r="A61" t="s">
        <v>112</v>
      </c>
    </row>
    <row r="62" spans="1:1" x14ac:dyDescent="0.25">
      <c r="A62" t="s">
        <v>114</v>
      </c>
    </row>
    <row r="63" spans="1:1" x14ac:dyDescent="0.25">
      <c r="A63" t="s">
        <v>115</v>
      </c>
    </row>
    <row r="64" spans="1:1" x14ac:dyDescent="0.25">
      <c r="A64" t="s">
        <v>117</v>
      </c>
    </row>
    <row r="65" spans="1:1" x14ac:dyDescent="0.25">
      <c r="A65" t="s">
        <v>118</v>
      </c>
    </row>
    <row r="66" spans="1:1" x14ac:dyDescent="0.25">
      <c r="A66" t="s">
        <v>119</v>
      </c>
    </row>
    <row r="67" spans="1:1" x14ac:dyDescent="0.25">
      <c r="A67" t="s">
        <v>120</v>
      </c>
    </row>
    <row r="68" spans="1:1" x14ac:dyDescent="0.25">
      <c r="A68" t="s">
        <v>121</v>
      </c>
    </row>
    <row r="69" spans="1:1" x14ac:dyDescent="0.25">
      <c r="A69" t="s">
        <v>122</v>
      </c>
    </row>
    <row r="70" spans="1:1" x14ac:dyDescent="0.25">
      <c r="A70" t="s">
        <v>124</v>
      </c>
    </row>
    <row r="71" spans="1:1" x14ac:dyDescent="0.25">
      <c r="A71" t="s">
        <v>125</v>
      </c>
    </row>
    <row r="72" spans="1:1" x14ac:dyDescent="0.25">
      <c r="A72" t="s">
        <v>126</v>
      </c>
    </row>
    <row r="73" spans="1:1" x14ac:dyDescent="0.25">
      <c r="A73" t="s">
        <v>127</v>
      </c>
    </row>
    <row r="74" spans="1:1" x14ac:dyDescent="0.25">
      <c r="A74" t="s">
        <v>128</v>
      </c>
    </row>
    <row r="75" spans="1:1" x14ac:dyDescent="0.25">
      <c r="A75" t="s">
        <v>129</v>
      </c>
    </row>
    <row r="76" spans="1:1" x14ac:dyDescent="0.25">
      <c r="A76" t="s">
        <v>130</v>
      </c>
    </row>
    <row r="77" spans="1:1" x14ac:dyDescent="0.25">
      <c r="A77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4690-94DE-4268-AD33-4610F62692C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305F-B68C-43AE-8B55-7D63AB491BC9}">
  <dimension ref="A2:O58"/>
  <sheetViews>
    <sheetView workbookViewId="0">
      <selection activeCell="E41" sqref="E41"/>
    </sheetView>
  </sheetViews>
  <sheetFormatPr defaultRowHeight="15" x14ac:dyDescent="0.25"/>
  <cols>
    <col min="6" max="6" width="9.5703125" bestFit="1" customWidth="1"/>
  </cols>
  <sheetData>
    <row r="2" spans="1:6" x14ac:dyDescent="0.25">
      <c r="B2" s="88" t="s">
        <v>180</v>
      </c>
      <c r="C2" s="88"/>
      <c r="D2" s="88"/>
      <c r="E2" s="88"/>
      <c r="F2" s="88"/>
    </row>
    <row r="4" spans="1:6" ht="31.15" customHeight="1" x14ac:dyDescent="0.25">
      <c r="A4" s="5" t="s">
        <v>171</v>
      </c>
      <c r="B4" s="5">
        <f>Sheet1!B9</f>
        <v>24</v>
      </c>
      <c r="C4" s="14"/>
      <c r="D4" s="14"/>
    </row>
    <row r="5" spans="1:6" x14ac:dyDescent="0.25">
      <c r="A5" s="5" t="s">
        <v>172</v>
      </c>
      <c r="B5" s="5">
        <f>Sheet1!B10</f>
        <v>18</v>
      </c>
      <c r="C5" s="14"/>
      <c r="D5" s="14"/>
    </row>
    <row r="6" spans="1:6" x14ac:dyDescent="0.25">
      <c r="A6" s="5" t="s">
        <v>173</v>
      </c>
      <c r="B6" s="5">
        <f>Sheet1!B8</f>
        <v>30</v>
      </c>
      <c r="C6" s="14"/>
      <c r="D6" s="14"/>
    </row>
    <row r="7" spans="1:6" x14ac:dyDescent="0.25">
      <c r="A7" s="14"/>
      <c r="B7" s="14"/>
      <c r="C7" s="14"/>
      <c r="D7" s="14"/>
    </row>
    <row r="8" spans="1:6" x14ac:dyDescent="0.25">
      <c r="A8" s="5" t="s">
        <v>174</v>
      </c>
      <c r="B8" s="52">
        <f>B4/B5</f>
        <v>1.3333333333333333</v>
      </c>
      <c r="C8" s="49"/>
      <c r="D8" s="49"/>
    </row>
    <row r="9" spans="1:6" x14ac:dyDescent="0.25">
      <c r="A9" s="5" t="s">
        <v>175</v>
      </c>
      <c r="B9" s="53">
        <f>B6/B5</f>
        <v>1.6666666666666667</v>
      </c>
      <c r="C9" s="49"/>
      <c r="D9" s="49"/>
    </row>
    <row r="10" spans="1:6" x14ac:dyDescent="0.25">
      <c r="A10" s="5" t="s">
        <v>20</v>
      </c>
      <c r="B10" s="54">
        <v>1.2</v>
      </c>
      <c r="C10" s="14"/>
      <c r="D10" s="14"/>
    </row>
    <row r="28" spans="2:10" x14ac:dyDescent="0.25">
      <c r="D28" t="s">
        <v>201</v>
      </c>
      <c r="E28" t="s">
        <v>198</v>
      </c>
    </row>
    <row r="29" spans="2:10" x14ac:dyDescent="0.25">
      <c r="D29" s="1">
        <v>1</v>
      </c>
      <c r="E29">
        <f>1.5*1.5</f>
        <v>2.25</v>
      </c>
    </row>
    <row r="30" spans="2:10" x14ac:dyDescent="0.25">
      <c r="B30" s="89"/>
      <c r="C30" s="89"/>
      <c r="D30" s="51">
        <v>2</v>
      </c>
      <c r="E30">
        <f>1.5*3</f>
        <v>4.5</v>
      </c>
    </row>
    <row r="31" spans="2:10" x14ac:dyDescent="0.25">
      <c r="B31" s="89"/>
      <c r="C31" s="89"/>
      <c r="D31" s="51">
        <v>3</v>
      </c>
      <c r="E31">
        <f>3*3</f>
        <v>9</v>
      </c>
    </row>
    <row r="32" spans="2:10" x14ac:dyDescent="0.25">
      <c r="H32" s="89" t="s">
        <v>195</v>
      </c>
      <c r="I32" s="89"/>
      <c r="J32" s="89"/>
    </row>
    <row r="33" spans="1:15" x14ac:dyDescent="0.25">
      <c r="B33" s="1"/>
      <c r="C33" s="1" t="s">
        <v>192</v>
      </c>
      <c r="D33" s="1" t="s">
        <v>198</v>
      </c>
      <c r="E33" s="89" t="s">
        <v>193</v>
      </c>
      <c r="F33" s="89"/>
      <c r="G33" t="s">
        <v>197</v>
      </c>
      <c r="H33" t="s">
        <v>202</v>
      </c>
      <c r="I33" t="s">
        <v>203</v>
      </c>
      <c r="J33" t="s">
        <v>204</v>
      </c>
    </row>
    <row r="34" spans="1:15" x14ac:dyDescent="0.25">
      <c r="B34" s="1"/>
      <c r="C34" s="1" t="s">
        <v>199</v>
      </c>
      <c r="D34" s="1"/>
      <c r="E34" s="51">
        <v>0</v>
      </c>
      <c r="F34" s="51"/>
      <c r="G34" s="32">
        <f>Sheet1!L17</f>
        <v>0.70412614271999996</v>
      </c>
      <c r="H34" s="27">
        <f>E29*G34</f>
        <v>1.5842838211199999</v>
      </c>
      <c r="I34" s="27">
        <f>E30*G34</f>
        <v>3.1685676422399998</v>
      </c>
    </row>
    <row r="35" spans="1:15" x14ac:dyDescent="0.25">
      <c r="B35" s="1"/>
      <c r="C35" s="1" t="s">
        <v>200</v>
      </c>
      <c r="D35" s="1"/>
      <c r="E35" s="51">
        <v>3</v>
      </c>
      <c r="F35" s="51"/>
      <c r="G35" s="32">
        <f>Sheet1!L17</f>
        <v>0.70412614271999996</v>
      </c>
      <c r="I35" s="27">
        <f>$E$30*G35</f>
        <v>3.1685676422399998</v>
      </c>
      <c r="J35" s="27">
        <f>$E$31*G35</f>
        <v>6.3371352844799995</v>
      </c>
    </row>
    <row r="36" spans="1:15" x14ac:dyDescent="0.25">
      <c r="B36" s="1"/>
      <c r="C36" s="1" t="s">
        <v>200</v>
      </c>
      <c r="D36" s="1"/>
      <c r="E36" s="51">
        <v>6</v>
      </c>
      <c r="F36" s="51"/>
      <c r="G36" s="32">
        <f>Sheet1!L17</f>
        <v>0.70412614271999996</v>
      </c>
      <c r="I36" s="27">
        <f t="shared" ref="I36:I44" si="0">$E$30*G36</f>
        <v>3.1685676422399998</v>
      </c>
      <c r="J36" s="27">
        <f t="shared" ref="J36:J43" si="1">$E$31*G36</f>
        <v>6.3371352844799995</v>
      </c>
    </row>
    <row r="37" spans="1:15" x14ac:dyDescent="0.25">
      <c r="B37" s="1"/>
      <c r="C37" s="1" t="s">
        <v>200</v>
      </c>
      <c r="D37" s="1"/>
      <c r="E37" s="51">
        <v>9</v>
      </c>
      <c r="F37" s="51"/>
      <c r="G37" s="32">
        <f>(G36+G38)/2</f>
        <v>0.75208256639999993</v>
      </c>
      <c r="I37" s="27">
        <f t="shared" si="0"/>
        <v>3.3843715487999999</v>
      </c>
      <c r="J37" s="27">
        <f t="shared" si="1"/>
        <v>6.7687430975999998</v>
      </c>
    </row>
    <row r="38" spans="1:15" x14ac:dyDescent="0.25">
      <c r="B38" s="1"/>
      <c r="C38" s="1" t="s">
        <v>200</v>
      </c>
      <c r="D38" s="1"/>
      <c r="E38" s="51">
        <v>12</v>
      </c>
      <c r="F38" s="51"/>
      <c r="G38" s="32">
        <f>Sheet1!L18</f>
        <v>0.80003899008000001</v>
      </c>
      <c r="I38" s="27">
        <f t="shared" si="0"/>
        <v>3.6001754553600001</v>
      </c>
      <c r="J38" s="27">
        <f t="shared" si="1"/>
        <v>7.2003509107200001</v>
      </c>
    </row>
    <row r="39" spans="1:15" x14ac:dyDescent="0.25">
      <c r="B39" s="1"/>
      <c r="C39" s="1" t="s">
        <v>200</v>
      </c>
      <c r="D39" s="1"/>
      <c r="E39" s="51">
        <v>15</v>
      </c>
      <c r="F39" s="51"/>
      <c r="G39" s="32">
        <f>(G38+G40)/2</f>
        <v>0.83371052159999992</v>
      </c>
      <c r="I39" s="27">
        <f t="shared" si="0"/>
        <v>3.7516973471999995</v>
      </c>
      <c r="J39" s="27">
        <f t="shared" si="1"/>
        <v>7.503394694399999</v>
      </c>
    </row>
    <row r="40" spans="1:15" x14ac:dyDescent="0.25">
      <c r="B40" s="1"/>
      <c r="C40" s="1" t="s">
        <v>200</v>
      </c>
      <c r="D40" s="1"/>
      <c r="E40" s="51">
        <v>18</v>
      </c>
      <c r="F40" s="51"/>
      <c r="G40" s="32">
        <f>Sheet1!L19</f>
        <v>0.86738205311999983</v>
      </c>
      <c r="I40" s="27">
        <f t="shared" si="0"/>
        <v>3.9032192390399993</v>
      </c>
      <c r="J40" s="27">
        <f t="shared" si="1"/>
        <v>7.8064384780799987</v>
      </c>
    </row>
    <row r="41" spans="1:15" x14ac:dyDescent="0.25">
      <c r="B41" s="1"/>
      <c r="C41" s="1" t="s">
        <v>200</v>
      </c>
      <c r="D41" s="1"/>
      <c r="E41" s="51">
        <v>21</v>
      </c>
      <c r="F41" s="51"/>
      <c r="G41" s="32">
        <f>(G40+G42)/2</f>
        <v>0.91138462271999998</v>
      </c>
      <c r="I41" s="27">
        <f t="shared" si="0"/>
        <v>4.1012308022399999</v>
      </c>
      <c r="J41" s="27">
        <f t="shared" si="1"/>
        <v>8.2024616044799998</v>
      </c>
    </row>
    <row r="42" spans="1:15" x14ac:dyDescent="0.25">
      <c r="B42" s="1"/>
      <c r="C42" s="1" t="s">
        <v>200</v>
      </c>
      <c r="D42" s="51"/>
      <c r="E42" s="51">
        <v>24</v>
      </c>
      <c r="F42" s="51"/>
      <c r="G42" s="32">
        <f>Sheet1!L20</f>
        <v>0.95538719232000013</v>
      </c>
      <c r="I42" s="27">
        <f t="shared" si="0"/>
        <v>4.2992423654400005</v>
      </c>
      <c r="J42" s="27">
        <f t="shared" si="1"/>
        <v>8.598484730880001</v>
      </c>
    </row>
    <row r="43" spans="1:15" x14ac:dyDescent="0.25">
      <c r="B43" s="1"/>
      <c r="C43" s="1" t="s">
        <v>200</v>
      </c>
      <c r="E43" s="51">
        <v>27</v>
      </c>
      <c r="F43" s="51"/>
      <c r="G43" s="32">
        <f>Sheet1!L20</f>
        <v>0.95538719232000013</v>
      </c>
      <c r="I43" s="27">
        <f t="shared" si="0"/>
        <v>4.2992423654400005</v>
      </c>
      <c r="J43" s="27">
        <f t="shared" si="1"/>
        <v>8.598484730880001</v>
      </c>
    </row>
    <row r="44" spans="1:15" x14ac:dyDescent="0.25">
      <c r="C44" s="1" t="s">
        <v>199</v>
      </c>
      <c r="E44" s="51">
        <v>30</v>
      </c>
      <c r="G44" s="32">
        <f>Sheet1!L20</f>
        <v>0.95538719232000013</v>
      </c>
      <c r="H44" s="27">
        <f>E29*G44</f>
        <v>2.1496211827200002</v>
      </c>
      <c r="I44" s="27">
        <f t="shared" si="0"/>
        <v>4.2992423654400005</v>
      </c>
      <c r="J44" s="27"/>
    </row>
    <row r="45" spans="1:15" x14ac:dyDescent="0.25">
      <c r="A45" s="1" t="s">
        <v>194</v>
      </c>
      <c r="B45" s="1" t="s">
        <v>21</v>
      </c>
    </row>
    <row r="46" spans="1:15" x14ac:dyDescent="0.25">
      <c r="A46" s="1">
        <f>Sheet1!A17</f>
        <v>10</v>
      </c>
      <c r="B46" s="55">
        <v>0.55300000000000005</v>
      </c>
      <c r="E46" s="3" t="s">
        <v>137</v>
      </c>
      <c r="F46" s="3">
        <v>30</v>
      </c>
      <c r="H46" s="3" t="s">
        <v>137</v>
      </c>
      <c r="I46" s="3">
        <v>14.75</v>
      </c>
      <c r="K46" s="3" t="s">
        <v>137</v>
      </c>
      <c r="L46" s="3">
        <v>18.75</v>
      </c>
      <c r="N46" s="3" t="s">
        <v>137</v>
      </c>
      <c r="O46" s="3">
        <v>22.75</v>
      </c>
    </row>
    <row r="47" spans="1:15" x14ac:dyDescent="0.25">
      <c r="A47" s="1">
        <f>Sheet1!A18</f>
        <v>15</v>
      </c>
      <c r="B47" s="55">
        <v>0.61</v>
      </c>
      <c r="E47" s="3" t="s">
        <v>138</v>
      </c>
      <c r="F47" s="5">
        <f>IF(F46&gt;=50,50,IF(F46&gt;30,30,IF(F46&gt;20,20,IF(F46&gt;15,15,IF(F46&gt;10,10,IF(F46&gt;=0,0,0))))))</f>
        <v>20</v>
      </c>
      <c r="H47" s="3" t="s">
        <v>138</v>
      </c>
      <c r="I47" s="5">
        <f>IF(I46&gt;=50,50,IF(I46&gt;30,30,IF(I46&gt;20,20,IF(I46&gt;15,15,IF(I46&gt;10,10,IF(I46&gt;=0,0,0))))))</f>
        <v>10</v>
      </c>
      <c r="K47" s="3" t="s">
        <v>138</v>
      </c>
      <c r="L47" s="5">
        <f>IF(L46&gt;=50,50,IF(L46&gt;30,30,IF(L46&gt;20,20,IF(L46&gt;15,15,IF(L46&gt;10,10,IF(L46&gt;=0,0,0))))))</f>
        <v>15</v>
      </c>
      <c r="N47" s="3" t="s">
        <v>138</v>
      </c>
      <c r="O47" s="5">
        <f>IF(O46&gt;=50,50,IF(O46&gt;30,30,IF(O46&gt;20,20,IF(O46&gt;15,15,IF(O46&gt;10,10,IF(O46&gt;=0,0,0))))))</f>
        <v>20</v>
      </c>
    </row>
    <row r="48" spans="1:15" x14ac:dyDescent="0.25">
      <c r="A48" s="1">
        <f>Sheet1!A19</f>
        <v>20</v>
      </c>
      <c r="B48" s="55">
        <v>0.63300000000000001</v>
      </c>
      <c r="E48" s="3" t="s">
        <v>139</v>
      </c>
      <c r="F48" s="5">
        <f>IF(F46&lt;=10,10,IF(F46&lt;=15,15,IF(F46&lt;=20,20,IF(F46&lt;=30,30,IF(F46&lt;=50,50,0)))))</f>
        <v>30</v>
      </c>
      <c r="H48" s="3" t="s">
        <v>139</v>
      </c>
      <c r="I48" s="5">
        <f>IF(I46&lt;=10,10,IF(I46&lt;=15,15,IF(I46&lt;=20,20,IF(I46&lt;=30,30,IF(I46&lt;=50,50,0)))))</f>
        <v>15</v>
      </c>
      <c r="K48" s="3" t="s">
        <v>139</v>
      </c>
      <c r="L48" s="5">
        <f>IF(L46&lt;=10,10,IF(L46&lt;=15,15,IF(L46&lt;=20,20,IF(L46&lt;=30,30,IF(L46&lt;=50,50,0)))))</f>
        <v>20</v>
      </c>
      <c r="N48" s="3" t="s">
        <v>139</v>
      </c>
      <c r="O48" s="5">
        <f>IF(O46&lt;=10,10,IF(O46&lt;=15,15,IF(O46&lt;=20,20,IF(O46&lt;=30,30,IF(O46&lt;=50,50,0)))))</f>
        <v>30</v>
      </c>
    </row>
    <row r="49" spans="1:15" x14ac:dyDescent="0.25">
      <c r="A49" s="1">
        <f>Sheet1!A20</f>
        <v>30</v>
      </c>
      <c r="B49" s="55">
        <v>0.69399999999999995</v>
      </c>
      <c r="E49" s="3" t="s">
        <v>140</v>
      </c>
      <c r="F49" s="56">
        <f>IF(F47=10,$B$46,IF(F47=15,$B$47,IF(F47=20,$B$48,IF(F47=30,$B$49,IF(F47=50,$B$50,0)))))</f>
        <v>0.63300000000000001</v>
      </c>
      <c r="H49" s="3" t="s">
        <v>140</v>
      </c>
      <c r="I49" s="56">
        <f>IF(I47=10,$B$46,IF(I47=15,$B$47,IF(I47=20,$B$48,IF(I47=30,$B$49,IF(I47=50,$B$50,0)))))</f>
        <v>0.55300000000000005</v>
      </c>
      <c r="K49" s="3" t="s">
        <v>140</v>
      </c>
      <c r="L49" s="56">
        <f>IF(L47=10,$B$46,IF(L47=15,$B$47,IF(L47=20,$B$48,IF(L47=30,$B$49,IF(L47=50,$B$50,0)))))</f>
        <v>0.61</v>
      </c>
      <c r="N49" s="3" t="s">
        <v>140</v>
      </c>
      <c r="O49" s="56">
        <f>IF(O47=10,$B$46,IF(O47=15,$B$47,IF(O47=20,$B$48,IF(O47=30,$B$49,IF(O47=50,$B$50,0)))))</f>
        <v>0.63300000000000001</v>
      </c>
    </row>
    <row r="50" spans="1:15" x14ac:dyDescent="0.25">
      <c r="A50" s="1">
        <f>Sheet1!B21</f>
        <v>0</v>
      </c>
      <c r="B50" s="55">
        <v>0.69399999999999995</v>
      </c>
      <c r="E50" s="3" t="s">
        <v>141</v>
      </c>
      <c r="F50" s="56">
        <f>IF(F48=10,$B$46,IF(F48=15,$B$47,IF(F48=20,$B$48,IF(F48=30,$B$49,IF(F48=50,$B$50,0)))))</f>
        <v>0.69399999999999995</v>
      </c>
      <c r="H50" s="3" t="s">
        <v>141</v>
      </c>
      <c r="I50" s="56">
        <f>IF(I48=10,$B$46,IF(I48=15,$B$47,IF(I48=20,$B$48,IF(I48=30,$B$49,IF(I48=50,$B$50,0)))))</f>
        <v>0.61</v>
      </c>
      <c r="K50" s="3" t="s">
        <v>141</v>
      </c>
      <c r="L50" s="56">
        <f>IF(L48=10,$B$46,IF(L48=15,$B$47,IF(L48=20,$B$48,IF(L48=30,$B$49,IF(L48=50,$B$50,0)))))</f>
        <v>0.63300000000000001</v>
      </c>
      <c r="N50" s="3" t="s">
        <v>141</v>
      </c>
      <c r="O50" s="56">
        <f>IF(O48=10,$B$46,IF(O48=15,$B$47,IF(O48=20,$B$48,IF(O48=30,$B$49,IF(O48=50,$B$50,0)))))</f>
        <v>0.69399999999999995</v>
      </c>
    </row>
    <row r="51" spans="1:15" x14ac:dyDescent="0.25">
      <c r="E51" s="3" t="s">
        <v>142</v>
      </c>
      <c r="F51" s="56">
        <f>F49+((F50-F49)/(F48-F47))*(F46-F47)</f>
        <v>0.69399999999999995</v>
      </c>
      <c r="H51" s="3" t="s">
        <v>142</v>
      </c>
      <c r="I51" s="56">
        <f>I49+((I50-I49)/(I48-I47))*(I46-I47)</f>
        <v>0.60714999999999997</v>
      </c>
      <c r="K51" s="3" t="s">
        <v>142</v>
      </c>
      <c r="L51" s="56">
        <f>L49+((L50-L49)/(L48-L47))*(L46-L47)</f>
        <v>0.62724999999999997</v>
      </c>
      <c r="N51" s="3" t="s">
        <v>142</v>
      </c>
      <c r="O51" s="56">
        <f>O49+((O50-O49)/(O48-O47))*(O46-O47)</f>
        <v>0.64977499999999999</v>
      </c>
    </row>
    <row r="53" spans="1:15" x14ac:dyDescent="0.25">
      <c r="E53" s="3" t="s">
        <v>137</v>
      </c>
      <c r="F53" s="3">
        <v>26.75</v>
      </c>
      <c r="H53" s="3" t="s">
        <v>137</v>
      </c>
      <c r="I53" s="3">
        <v>10.75</v>
      </c>
      <c r="K53" s="3" t="s">
        <v>137</v>
      </c>
      <c r="L53" s="3">
        <v>10.75</v>
      </c>
      <c r="N53" s="3" t="s">
        <v>137</v>
      </c>
      <c r="O53" s="3">
        <v>10.75</v>
      </c>
    </row>
    <row r="54" spans="1:15" x14ac:dyDescent="0.25">
      <c r="E54" s="3" t="s">
        <v>138</v>
      </c>
      <c r="F54" s="5">
        <f>IF(F53&gt;=50,50,IF(F53&gt;30,30,IF(F53&gt;20,20,IF(F53&gt;15,15,IF(F53&gt;10,10,IF(F53&gt;=0,0,0))))))</f>
        <v>20</v>
      </c>
      <c r="H54" s="3" t="s">
        <v>138</v>
      </c>
      <c r="I54" s="5">
        <f>IF(I53&gt;=50,50,IF(I53&gt;30,30,IF(I53&gt;20,20,IF(I53&gt;15,15,IF(I53&gt;10,10,IF(I53&gt;=0,0,0))))))</f>
        <v>10</v>
      </c>
      <c r="K54" s="3" t="s">
        <v>138</v>
      </c>
      <c r="L54" s="5">
        <f>IF(L53&gt;=50,50,IF(L53&gt;30,30,IF(L53&gt;20,20,IF(L53&gt;15,15,IF(L53&gt;10,10,IF(L53&gt;=0,0,0))))))</f>
        <v>10</v>
      </c>
      <c r="N54" s="3" t="s">
        <v>138</v>
      </c>
      <c r="O54" s="5">
        <f>IF(O53&gt;=50,50,IF(O53&gt;30,30,IF(O53&gt;20,20,IF(O53&gt;15,15,IF(O53&gt;10,10,IF(O53&gt;=0,0,0))))))</f>
        <v>10</v>
      </c>
    </row>
    <row r="55" spans="1:15" x14ac:dyDescent="0.25">
      <c r="E55" s="3" t="s">
        <v>139</v>
      </c>
      <c r="F55" s="5">
        <f>IF(F53&lt;=10,10,IF(F53&lt;=15,15,IF(F53&lt;=20,20,IF(F53&lt;=30,30,IF(F53&lt;=50,50,0)))))</f>
        <v>30</v>
      </c>
      <c r="H55" s="3" t="s">
        <v>139</v>
      </c>
      <c r="I55" s="5">
        <f>IF(I53&lt;=10,10,IF(I53&lt;=15,15,IF(I53&lt;=20,20,IF(I53&lt;=30,30,IF(I53&lt;=50,50,0)))))</f>
        <v>15</v>
      </c>
      <c r="K55" s="3" t="s">
        <v>139</v>
      </c>
      <c r="L55" s="5">
        <f>IF(L53&lt;=10,10,IF(L53&lt;=15,15,IF(L53&lt;=20,20,IF(L53&lt;=30,30,IF(L53&lt;=50,50,0)))))</f>
        <v>15</v>
      </c>
      <c r="N55" s="3" t="s">
        <v>139</v>
      </c>
      <c r="O55" s="5">
        <f>IF(O53&lt;=10,10,IF(O53&lt;=15,15,IF(O53&lt;=20,20,IF(O53&lt;=30,30,IF(O53&lt;=50,50,0)))))</f>
        <v>15</v>
      </c>
    </row>
    <row r="56" spans="1:15" x14ac:dyDescent="0.25">
      <c r="E56" s="3" t="s">
        <v>140</v>
      </c>
      <c r="F56" s="56">
        <f>IF(F54=10,$B$46,IF(F54=15,$B$47,IF(F54=20,$B$48,IF(F54=30,$B$49,IF(F54=50,$B$50,0)))))</f>
        <v>0.63300000000000001</v>
      </c>
      <c r="H56" s="3" t="s">
        <v>140</v>
      </c>
      <c r="I56" s="56">
        <f>IF(I54=10,$B$46,IF(I54=15,$B$47,IF(I54=20,$B$48,IF(I54=30,$B$49,IF(I54=50,$B$50,0)))))</f>
        <v>0.55300000000000005</v>
      </c>
      <c r="K56" s="3" t="s">
        <v>140</v>
      </c>
      <c r="L56" s="56">
        <f>IF(L54=10,$B$46,IF(L54=15,$B$47,IF(L54=20,$B$48,IF(L54=30,$B$49,IF(L54=50,$B$50,0)))))</f>
        <v>0.55300000000000005</v>
      </c>
      <c r="N56" s="3" t="s">
        <v>140</v>
      </c>
      <c r="O56" s="56">
        <f>IF(O54=10,$B$46,IF(O54=15,$B$47,IF(O54=20,$B$48,IF(O54=30,$B$49,IF(O54=50,$B$50,0)))))</f>
        <v>0.55300000000000005</v>
      </c>
    </row>
    <row r="57" spans="1:15" x14ac:dyDescent="0.25">
      <c r="E57" s="3" t="s">
        <v>141</v>
      </c>
      <c r="F57" s="56">
        <f>IF(F55=10,$B$46,IF(F55=15,$B$47,IF(F55=20,$B$48,IF(F55=30,$B$49,IF(F55=50,$B$50,0)))))</f>
        <v>0.69399999999999995</v>
      </c>
      <c r="H57" s="3" t="s">
        <v>141</v>
      </c>
      <c r="I57" s="56">
        <f>IF(I55=10,$B$46,IF(I55=15,$B$47,IF(I55=20,$B$48,IF(I55=30,$B$49,IF(I55=50,$B$50,0)))))</f>
        <v>0.61</v>
      </c>
      <c r="K57" s="3" t="s">
        <v>141</v>
      </c>
      <c r="L57" s="56">
        <f>IF(L55=10,$B$46,IF(L55=15,$B$47,IF(L55=20,$B$48,IF(L55=30,$B$49,IF(L55=50,$B$50,0)))))</f>
        <v>0.61</v>
      </c>
      <c r="N57" s="3" t="s">
        <v>141</v>
      </c>
      <c r="O57" s="56">
        <f>IF(O55=10,$B$46,IF(O55=15,$B$47,IF(O55=20,$B$48,IF(O55=30,$B$49,IF(O55=50,$B$50,0)))))</f>
        <v>0.61</v>
      </c>
    </row>
    <row r="58" spans="1:15" x14ac:dyDescent="0.25">
      <c r="E58" s="3" t="s">
        <v>142</v>
      </c>
      <c r="F58" s="56">
        <f>F56+((F57-F56)/(F55-F54))*(F53-F54)</f>
        <v>0.67417499999999997</v>
      </c>
      <c r="H58" s="3" t="s">
        <v>142</v>
      </c>
      <c r="I58" s="56">
        <f>I56+((I57-I56)/(I55-I54))*(I53-I54)</f>
        <v>0.56154999999999999</v>
      </c>
      <c r="K58" s="3" t="s">
        <v>142</v>
      </c>
      <c r="L58" s="56">
        <f>L56+((L57-L56)/(L55-L54))*(L53-L54)</f>
        <v>0.56154999999999999</v>
      </c>
      <c r="N58" s="3" t="s">
        <v>142</v>
      </c>
      <c r="O58" s="56">
        <f>O56+((O57-O56)/(O55-O54))*(O53-O54)</f>
        <v>0.56154999999999999</v>
      </c>
    </row>
  </sheetData>
  <mergeCells count="5">
    <mergeCell ref="B2:F2"/>
    <mergeCell ref="E33:F33"/>
    <mergeCell ref="B30:C30"/>
    <mergeCell ref="B31:C31"/>
    <mergeCell ref="H32:J32"/>
  </mergeCells>
  <phoneticPr fontId="2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Sheet1</vt:lpstr>
      <vt:lpstr>Sheet2</vt:lpstr>
      <vt:lpstr>Sheet3</vt:lpstr>
      <vt:lpstr>Sheet7</vt:lpstr>
      <vt:lpstr>Sheet5</vt:lpstr>
      <vt:lpstr>Sheet6</vt:lpstr>
      <vt:lpstr>Sheet4</vt:lpstr>
      <vt:lpstr>All_general_buildings__and_structures</vt:lpstr>
      <vt:lpstr>Buildings_and_structures_presenting_a_low_degree_of_hazard_to_life_and_property__in_the_event_of_failure__such_as_isolated_towers_in_wooded_areas__farm_buildings_other_than_residential_buildings__etc.</vt:lpstr>
      <vt:lpstr>Important_buildings_and_structures_such_as__hospitals__communication_buildings__towers_and_power_plant_structures</vt:lpstr>
      <vt:lpstr>Temporary_sheds__structures_such_as_those__used_during_construction_operations__for_example__formwork_and_false_work___structures_during_construction_stages__and_boundary_walls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Deepak Sharma</cp:lastModifiedBy>
  <dcterms:created xsi:type="dcterms:W3CDTF">2022-09-11T07:18:12Z</dcterms:created>
  <dcterms:modified xsi:type="dcterms:W3CDTF">2026-08-30T19:21:16Z</dcterms:modified>
</cp:coreProperties>
</file>